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d5d8700b5386d/GitHub/FL03039-Inventario-Florestal/Slides/data/"/>
    </mc:Choice>
  </mc:AlternateContent>
  <xr:revisionPtr revIDLastSave="1091" documentId="13_ncr:1_{FBDD67E5-22CB-4132-A16F-019A20304AAE}" xr6:coauthVersionLast="47" xr6:coauthVersionMax="47" xr10:uidLastSave="{B3709906-23B2-41CB-B9D3-098554D092A5}"/>
  <bookViews>
    <workbookView xWindow="-110" yWindow="-110" windowWidth="25820" windowHeight="13900" activeTab="3" xr2:uid="{00000000-000D-0000-FFFF-FFFF00000000}"/>
  </bookViews>
  <sheets>
    <sheet name="Dados-Campo-Simulado" sheetId="8" r:id="rId1"/>
    <sheet name="Volume_Por_Parcela" sheetId="9" r:id="rId2"/>
    <sheet name="Formulas" sheetId="11" r:id="rId3"/>
    <sheet name="AAS-Sanquetta-et-al-2023" sheetId="7" r:id="rId4"/>
  </sheets>
  <calcPr calcId="191029"/>
  <pivotCaches>
    <pivotCache cacheId="8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7" l="1"/>
  <c r="K18" i="7"/>
  <c r="G21" i="7"/>
  <c r="G22" i="7" s="1"/>
  <c r="G24" i="7" s="1"/>
  <c r="M13" i="7"/>
  <c r="M14" i="7" s="1"/>
  <c r="M17" i="7"/>
  <c r="K17" i="7"/>
  <c r="K13" i="7"/>
  <c r="K14" i="7" s="1"/>
  <c r="K15" i="7" s="1"/>
  <c r="K11" i="7"/>
  <c r="K10" i="7"/>
  <c r="K9" i="7"/>
  <c r="G14" i="7"/>
  <c r="G12" i="7"/>
  <c r="D10" i="7" s="1"/>
  <c r="E8" i="8"/>
  <c r="F8" i="8"/>
  <c r="E9" i="8"/>
  <c r="F9" i="8" s="1"/>
  <c r="E10" i="8"/>
  <c r="F10" i="8" s="1"/>
  <c r="E11" i="8"/>
  <c r="F11" i="8"/>
  <c r="E12" i="8"/>
  <c r="F12" i="8" s="1"/>
  <c r="K24" i="7" l="1"/>
  <c r="K19" i="7"/>
  <c r="K20" i="7" s="1"/>
  <c r="K21" i="7" s="1"/>
  <c r="K16" i="7"/>
  <c r="M15" i="7"/>
  <c r="K12" i="7"/>
  <c r="D9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K23" i="7" l="1"/>
  <c r="K22" i="7"/>
  <c r="K25" i="7"/>
  <c r="K26" i="7"/>
  <c r="M11" i="7"/>
  <c r="M19" i="7" s="1"/>
  <c r="M20" i="7" s="1"/>
  <c r="M10" i="7"/>
  <c r="M9" i="7"/>
  <c r="M24" i="7" l="1"/>
  <c r="M16" i="7"/>
  <c r="M18" i="7" s="1"/>
  <c r="M22" i="7"/>
  <c r="M23" i="7"/>
  <c r="M21" i="7"/>
  <c r="M12" i="7"/>
  <c r="M26" i="7" l="1"/>
  <c r="M25" i="7"/>
  <c r="F181" i="8" l="1"/>
  <c r="F239" i="8"/>
  <c r="F301" i="8"/>
  <c r="F481" i="8"/>
  <c r="F483" i="8"/>
  <c r="F499" i="8"/>
  <c r="F500" i="8"/>
  <c r="F501" i="8"/>
  <c r="F503" i="8"/>
  <c r="F539" i="8"/>
  <c r="F592" i="8"/>
  <c r="F781" i="8"/>
  <c r="F783" i="8"/>
  <c r="F802" i="8"/>
  <c r="F812" i="8"/>
  <c r="F1001" i="8"/>
  <c r="F1002" i="8"/>
  <c r="F1003" i="8"/>
  <c r="F1004" i="8"/>
  <c r="F1005" i="8"/>
  <c r="F1061" i="8"/>
  <c r="F1081" i="8"/>
  <c r="F1083" i="8"/>
  <c r="F1201" i="8"/>
  <c r="F1221" i="8"/>
  <c r="F1241" i="8"/>
  <c r="F1399" i="8"/>
  <c r="F1560" i="8"/>
  <c r="F1579" i="8"/>
  <c r="E2" i="8"/>
  <c r="F2" i="8" s="1"/>
  <c r="E3" i="8"/>
  <c r="F3" i="8" s="1"/>
  <c r="E4" i="8"/>
  <c r="F4" i="8" s="1"/>
  <c r="E5" i="8"/>
  <c r="F5" i="8" s="1"/>
  <c r="E6" i="8"/>
  <c r="F6" i="8" s="1"/>
  <c r="E7" i="8"/>
  <c r="F7" i="8" s="1"/>
  <c r="E13" i="8"/>
  <c r="F13" i="8" s="1"/>
  <c r="E14" i="8"/>
  <c r="F14" i="8" s="1"/>
  <c r="E15" i="8"/>
  <c r="F15" i="8" s="1"/>
  <c r="E16" i="8"/>
  <c r="F16" i="8" s="1"/>
  <c r="E17" i="8"/>
  <c r="F17" i="8" s="1"/>
  <c r="E18" i="8"/>
  <c r="F18" i="8" s="1"/>
  <c r="E19" i="8"/>
  <c r="F19" i="8" s="1"/>
  <c r="E20" i="8"/>
  <c r="F20" i="8" s="1"/>
  <c r="E21" i="8"/>
  <c r="F21" i="8" s="1"/>
  <c r="E22" i="8"/>
  <c r="F22" i="8" s="1"/>
  <c r="E23" i="8"/>
  <c r="F23" i="8" s="1"/>
  <c r="E24" i="8"/>
  <c r="F24" i="8" s="1"/>
  <c r="E25" i="8"/>
  <c r="F25" i="8" s="1"/>
  <c r="E26" i="8"/>
  <c r="F26" i="8" s="1"/>
  <c r="E27" i="8"/>
  <c r="F27" i="8" s="1"/>
  <c r="E28" i="8"/>
  <c r="F28" i="8" s="1"/>
  <c r="E29" i="8"/>
  <c r="F29" i="8" s="1"/>
  <c r="E30" i="8"/>
  <c r="F30" i="8" s="1"/>
  <c r="E31" i="8"/>
  <c r="F31" i="8" s="1"/>
  <c r="E32" i="8"/>
  <c r="F32" i="8" s="1"/>
  <c r="E33" i="8"/>
  <c r="F33" i="8" s="1"/>
  <c r="E34" i="8"/>
  <c r="F34" i="8" s="1"/>
  <c r="E35" i="8"/>
  <c r="F35" i="8" s="1"/>
  <c r="E36" i="8"/>
  <c r="F36" i="8" s="1"/>
  <c r="E37" i="8"/>
  <c r="F37" i="8" s="1"/>
  <c r="E38" i="8"/>
  <c r="F38" i="8" s="1"/>
  <c r="E39" i="8"/>
  <c r="F39" i="8" s="1"/>
  <c r="E40" i="8"/>
  <c r="F40" i="8" s="1"/>
  <c r="E41" i="8"/>
  <c r="F41" i="8" s="1"/>
  <c r="E42" i="8"/>
  <c r="F42" i="8" s="1"/>
  <c r="E43" i="8"/>
  <c r="F43" i="8" s="1"/>
  <c r="E44" i="8"/>
  <c r="F44" i="8" s="1"/>
  <c r="E45" i="8"/>
  <c r="F45" i="8" s="1"/>
  <c r="E46" i="8"/>
  <c r="F46" i="8" s="1"/>
  <c r="E47" i="8"/>
  <c r="F47" i="8" s="1"/>
  <c r="E48" i="8"/>
  <c r="F48" i="8" s="1"/>
  <c r="E49" i="8"/>
  <c r="F49" i="8" s="1"/>
  <c r="E50" i="8"/>
  <c r="F50" i="8" s="1"/>
  <c r="E51" i="8"/>
  <c r="F51" i="8" s="1"/>
  <c r="E52" i="8"/>
  <c r="F52" i="8" s="1"/>
  <c r="E53" i="8"/>
  <c r="F53" i="8" s="1"/>
  <c r="E54" i="8"/>
  <c r="F54" i="8" s="1"/>
  <c r="E55" i="8"/>
  <c r="F55" i="8" s="1"/>
  <c r="E56" i="8"/>
  <c r="F56" i="8" s="1"/>
  <c r="E57" i="8"/>
  <c r="F57" i="8" s="1"/>
  <c r="E58" i="8"/>
  <c r="F58" i="8" s="1"/>
  <c r="E59" i="8"/>
  <c r="F59" i="8" s="1"/>
  <c r="E60" i="8"/>
  <c r="F60" i="8" s="1"/>
  <c r="E61" i="8"/>
  <c r="F61" i="8" s="1"/>
  <c r="E62" i="8"/>
  <c r="F62" i="8" s="1"/>
  <c r="E63" i="8"/>
  <c r="F63" i="8" s="1"/>
  <c r="E64" i="8"/>
  <c r="F64" i="8" s="1"/>
  <c r="E65" i="8"/>
  <c r="F65" i="8" s="1"/>
  <c r="E66" i="8"/>
  <c r="F66" i="8" s="1"/>
  <c r="E67" i="8"/>
  <c r="F67" i="8" s="1"/>
  <c r="E68" i="8"/>
  <c r="F68" i="8" s="1"/>
  <c r="E69" i="8"/>
  <c r="F69" i="8" s="1"/>
  <c r="E70" i="8"/>
  <c r="F70" i="8" s="1"/>
  <c r="E71" i="8"/>
  <c r="F71" i="8" s="1"/>
  <c r="E72" i="8"/>
  <c r="F72" i="8" s="1"/>
  <c r="E73" i="8"/>
  <c r="F73" i="8" s="1"/>
  <c r="E74" i="8"/>
  <c r="F74" i="8" s="1"/>
  <c r="E75" i="8"/>
  <c r="F75" i="8" s="1"/>
  <c r="E76" i="8"/>
  <c r="F76" i="8" s="1"/>
  <c r="E77" i="8"/>
  <c r="F77" i="8" s="1"/>
  <c r="E78" i="8"/>
  <c r="F78" i="8" s="1"/>
  <c r="E79" i="8"/>
  <c r="F79" i="8" s="1"/>
  <c r="E80" i="8"/>
  <c r="F80" i="8" s="1"/>
  <c r="E81" i="8"/>
  <c r="F81" i="8" s="1"/>
  <c r="E82" i="8"/>
  <c r="F82" i="8" s="1"/>
  <c r="E83" i="8"/>
  <c r="F83" i="8" s="1"/>
  <c r="E84" i="8"/>
  <c r="F84" i="8" s="1"/>
  <c r="E85" i="8"/>
  <c r="F85" i="8" s="1"/>
  <c r="E86" i="8"/>
  <c r="F86" i="8" s="1"/>
  <c r="E87" i="8"/>
  <c r="F87" i="8" s="1"/>
  <c r="E88" i="8"/>
  <c r="F88" i="8" s="1"/>
  <c r="E89" i="8"/>
  <c r="F89" i="8" s="1"/>
  <c r="E90" i="8"/>
  <c r="F90" i="8" s="1"/>
  <c r="E91" i="8"/>
  <c r="F91" i="8" s="1"/>
  <c r="E92" i="8"/>
  <c r="F92" i="8" s="1"/>
  <c r="E93" i="8"/>
  <c r="F93" i="8" s="1"/>
  <c r="E94" i="8"/>
  <c r="F94" i="8" s="1"/>
  <c r="E95" i="8"/>
  <c r="F95" i="8" s="1"/>
  <c r="E96" i="8"/>
  <c r="F96" i="8" s="1"/>
  <c r="E97" i="8"/>
  <c r="F97" i="8" s="1"/>
  <c r="E98" i="8"/>
  <c r="F98" i="8" s="1"/>
  <c r="E99" i="8"/>
  <c r="F99" i="8" s="1"/>
  <c r="E100" i="8"/>
  <c r="F100" i="8" s="1"/>
  <c r="E101" i="8"/>
  <c r="F101" i="8" s="1"/>
  <c r="E102" i="8"/>
  <c r="F102" i="8" s="1"/>
  <c r="E103" i="8"/>
  <c r="F103" i="8" s="1"/>
  <c r="E104" i="8"/>
  <c r="F104" i="8" s="1"/>
  <c r="E105" i="8"/>
  <c r="F105" i="8" s="1"/>
  <c r="E106" i="8"/>
  <c r="F106" i="8" s="1"/>
  <c r="E107" i="8"/>
  <c r="F107" i="8" s="1"/>
  <c r="E108" i="8"/>
  <c r="F108" i="8" s="1"/>
  <c r="E109" i="8"/>
  <c r="F109" i="8" s="1"/>
  <c r="E110" i="8"/>
  <c r="F110" i="8" s="1"/>
  <c r="E111" i="8"/>
  <c r="F111" i="8" s="1"/>
  <c r="E112" i="8"/>
  <c r="F112" i="8" s="1"/>
  <c r="E113" i="8"/>
  <c r="F113" i="8" s="1"/>
  <c r="E114" i="8"/>
  <c r="F114" i="8" s="1"/>
  <c r="E115" i="8"/>
  <c r="F115" i="8" s="1"/>
  <c r="E116" i="8"/>
  <c r="F116" i="8" s="1"/>
  <c r="E117" i="8"/>
  <c r="F117" i="8" s="1"/>
  <c r="E118" i="8"/>
  <c r="F118" i="8" s="1"/>
  <c r="E119" i="8"/>
  <c r="F119" i="8" s="1"/>
  <c r="E120" i="8"/>
  <c r="F120" i="8" s="1"/>
  <c r="E121" i="8"/>
  <c r="F121" i="8" s="1"/>
  <c r="E122" i="8"/>
  <c r="F122" i="8" s="1"/>
  <c r="E123" i="8"/>
  <c r="F123" i="8" s="1"/>
  <c r="E124" i="8"/>
  <c r="F124" i="8" s="1"/>
  <c r="E125" i="8"/>
  <c r="F125" i="8" s="1"/>
  <c r="E126" i="8"/>
  <c r="F126" i="8" s="1"/>
  <c r="E127" i="8"/>
  <c r="F127" i="8" s="1"/>
  <c r="E128" i="8"/>
  <c r="F128" i="8" s="1"/>
  <c r="E129" i="8"/>
  <c r="F129" i="8" s="1"/>
  <c r="E130" i="8"/>
  <c r="F130" i="8" s="1"/>
  <c r="E131" i="8"/>
  <c r="F131" i="8" s="1"/>
  <c r="E132" i="8"/>
  <c r="F132" i="8" s="1"/>
  <c r="E133" i="8"/>
  <c r="F133" i="8" s="1"/>
  <c r="E134" i="8"/>
  <c r="F134" i="8" s="1"/>
  <c r="E135" i="8"/>
  <c r="F135" i="8" s="1"/>
  <c r="E136" i="8"/>
  <c r="F136" i="8" s="1"/>
  <c r="E137" i="8"/>
  <c r="F137" i="8" s="1"/>
  <c r="E138" i="8"/>
  <c r="F138" i="8" s="1"/>
  <c r="E139" i="8"/>
  <c r="F139" i="8" s="1"/>
  <c r="E140" i="8"/>
  <c r="F140" i="8" s="1"/>
  <c r="E141" i="8"/>
  <c r="F141" i="8" s="1"/>
  <c r="E142" i="8"/>
  <c r="F142" i="8" s="1"/>
  <c r="E143" i="8"/>
  <c r="F143" i="8" s="1"/>
  <c r="E144" i="8"/>
  <c r="F144" i="8" s="1"/>
  <c r="E145" i="8"/>
  <c r="F145" i="8" s="1"/>
  <c r="E146" i="8"/>
  <c r="F146" i="8" s="1"/>
  <c r="E147" i="8"/>
  <c r="F147" i="8" s="1"/>
  <c r="E148" i="8"/>
  <c r="F148" i="8" s="1"/>
  <c r="E149" i="8"/>
  <c r="F149" i="8" s="1"/>
  <c r="E150" i="8"/>
  <c r="F150" i="8" s="1"/>
  <c r="E151" i="8"/>
  <c r="F151" i="8" s="1"/>
  <c r="E152" i="8"/>
  <c r="F152" i="8" s="1"/>
  <c r="E153" i="8"/>
  <c r="F153" i="8" s="1"/>
  <c r="E154" i="8"/>
  <c r="F154" i="8" s="1"/>
  <c r="E155" i="8"/>
  <c r="F155" i="8" s="1"/>
  <c r="E156" i="8"/>
  <c r="F156" i="8" s="1"/>
  <c r="E157" i="8"/>
  <c r="F157" i="8" s="1"/>
  <c r="E158" i="8"/>
  <c r="F158" i="8" s="1"/>
  <c r="E159" i="8"/>
  <c r="F159" i="8" s="1"/>
  <c r="E160" i="8"/>
  <c r="F160" i="8" s="1"/>
  <c r="E161" i="8"/>
  <c r="F161" i="8" s="1"/>
  <c r="E162" i="8"/>
  <c r="F162" i="8" s="1"/>
  <c r="E163" i="8"/>
  <c r="F163" i="8" s="1"/>
  <c r="E164" i="8"/>
  <c r="F164" i="8" s="1"/>
  <c r="E165" i="8"/>
  <c r="F165" i="8" s="1"/>
  <c r="E166" i="8"/>
  <c r="F166" i="8" s="1"/>
  <c r="E167" i="8"/>
  <c r="F167" i="8" s="1"/>
  <c r="E168" i="8"/>
  <c r="F168" i="8" s="1"/>
  <c r="E169" i="8"/>
  <c r="F169" i="8" s="1"/>
  <c r="E170" i="8"/>
  <c r="F170" i="8" s="1"/>
  <c r="E171" i="8"/>
  <c r="F171" i="8" s="1"/>
  <c r="E172" i="8"/>
  <c r="F172" i="8" s="1"/>
  <c r="E173" i="8"/>
  <c r="F173" i="8" s="1"/>
  <c r="E174" i="8"/>
  <c r="F174" i="8" s="1"/>
  <c r="E175" i="8"/>
  <c r="F175" i="8" s="1"/>
  <c r="E176" i="8"/>
  <c r="F176" i="8" s="1"/>
  <c r="E177" i="8"/>
  <c r="F177" i="8" s="1"/>
  <c r="E178" i="8"/>
  <c r="F178" i="8" s="1"/>
  <c r="E179" i="8"/>
  <c r="F179" i="8" s="1"/>
  <c r="E180" i="8"/>
  <c r="F180" i="8" s="1"/>
  <c r="E181" i="8"/>
  <c r="E182" i="8"/>
  <c r="F182" i="8" s="1"/>
  <c r="E183" i="8"/>
  <c r="F183" i="8" s="1"/>
  <c r="E184" i="8"/>
  <c r="F184" i="8" s="1"/>
  <c r="E185" i="8"/>
  <c r="F185" i="8" s="1"/>
  <c r="E186" i="8"/>
  <c r="F186" i="8" s="1"/>
  <c r="E187" i="8"/>
  <c r="F187" i="8" s="1"/>
  <c r="E188" i="8"/>
  <c r="F188" i="8" s="1"/>
  <c r="E189" i="8"/>
  <c r="F189" i="8" s="1"/>
  <c r="E190" i="8"/>
  <c r="F190" i="8" s="1"/>
  <c r="E191" i="8"/>
  <c r="F191" i="8" s="1"/>
  <c r="E192" i="8"/>
  <c r="F192" i="8" s="1"/>
  <c r="E193" i="8"/>
  <c r="F193" i="8" s="1"/>
  <c r="E194" i="8"/>
  <c r="F194" i="8" s="1"/>
  <c r="E195" i="8"/>
  <c r="F195" i="8" s="1"/>
  <c r="E196" i="8"/>
  <c r="F196" i="8" s="1"/>
  <c r="E197" i="8"/>
  <c r="F197" i="8" s="1"/>
  <c r="E198" i="8"/>
  <c r="F198" i="8" s="1"/>
  <c r="E199" i="8"/>
  <c r="F199" i="8" s="1"/>
  <c r="E200" i="8"/>
  <c r="F200" i="8" s="1"/>
  <c r="E201" i="8"/>
  <c r="F201" i="8" s="1"/>
  <c r="E202" i="8"/>
  <c r="F202" i="8" s="1"/>
  <c r="E203" i="8"/>
  <c r="F203" i="8" s="1"/>
  <c r="E204" i="8"/>
  <c r="F204" i="8" s="1"/>
  <c r="E205" i="8"/>
  <c r="F205" i="8" s="1"/>
  <c r="E206" i="8"/>
  <c r="F206" i="8" s="1"/>
  <c r="E207" i="8"/>
  <c r="F207" i="8" s="1"/>
  <c r="E208" i="8"/>
  <c r="F208" i="8" s="1"/>
  <c r="E209" i="8"/>
  <c r="F209" i="8" s="1"/>
  <c r="E210" i="8"/>
  <c r="F210" i="8" s="1"/>
  <c r="E211" i="8"/>
  <c r="F211" i="8" s="1"/>
  <c r="E212" i="8"/>
  <c r="F212" i="8" s="1"/>
  <c r="E213" i="8"/>
  <c r="F213" i="8" s="1"/>
  <c r="E214" i="8"/>
  <c r="F214" i="8" s="1"/>
  <c r="E215" i="8"/>
  <c r="F215" i="8" s="1"/>
  <c r="E216" i="8"/>
  <c r="F216" i="8" s="1"/>
  <c r="E217" i="8"/>
  <c r="F217" i="8" s="1"/>
  <c r="E218" i="8"/>
  <c r="F218" i="8" s="1"/>
  <c r="E219" i="8"/>
  <c r="F219" i="8" s="1"/>
  <c r="E220" i="8"/>
  <c r="F220" i="8" s="1"/>
  <c r="E221" i="8"/>
  <c r="F221" i="8" s="1"/>
  <c r="E222" i="8"/>
  <c r="F222" i="8" s="1"/>
  <c r="E223" i="8"/>
  <c r="F223" i="8" s="1"/>
  <c r="E224" i="8"/>
  <c r="F224" i="8" s="1"/>
  <c r="E225" i="8"/>
  <c r="F225" i="8" s="1"/>
  <c r="E226" i="8"/>
  <c r="F226" i="8" s="1"/>
  <c r="E227" i="8"/>
  <c r="F227" i="8" s="1"/>
  <c r="E228" i="8"/>
  <c r="F228" i="8" s="1"/>
  <c r="E229" i="8"/>
  <c r="F229" i="8" s="1"/>
  <c r="E230" i="8"/>
  <c r="F230" i="8" s="1"/>
  <c r="E231" i="8"/>
  <c r="F231" i="8" s="1"/>
  <c r="E232" i="8"/>
  <c r="F232" i="8" s="1"/>
  <c r="E233" i="8"/>
  <c r="F233" i="8" s="1"/>
  <c r="E234" i="8"/>
  <c r="F234" i="8" s="1"/>
  <c r="E235" i="8"/>
  <c r="F235" i="8" s="1"/>
  <c r="E236" i="8"/>
  <c r="F236" i="8" s="1"/>
  <c r="E237" i="8"/>
  <c r="F237" i="8" s="1"/>
  <c r="E238" i="8"/>
  <c r="F238" i="8" s="1"/>
  <c r="E239" i="8"/>
  <c r="E240" i="8"/>
  <c r="F240" i="8" s="1"/>
  <c r="E241" i="8"/>
  <c r="F241" i="8" s="1"/>
  <c r="E242" i="8"/>
  <c r="F242" i="8" s="1"/>
  <c r="E243" i="8"/>
  <c r="F243" i="8" s="1"/>
  <c r="E244" i="8"/>
  <c r="F244" i="8" s="1"/>
  <c r="E245" i="8"/>
  <c r="F245" i="8" s="1"/>
  <c r="E246" i="8"/>
  <c r="F246" i="8" s="1"/>
  <c r="E247" i="8"/>
  <c r="F247" i="8" s="1"/>
  <c r="E248" i="8"/>
  <c r="F248" i="8" s="1"/>
  <c r="E249" i="8"/>
  <c r="F249" i="8" s="1"/>
  <c r="E250" i="8"/>
  <c r="F250" i="8" s="1"/>
  <c r="E251" i="8"/>
  <c r="F251" i="8" s="1"/>
  <c r="E252" i="8"/>
  <c r="F252" i="8" s="1"/>
  <c r="E253" i="8"/>
  <c r="F253" i="8" s="1"/>
  <c r="E254" i="8"/>
  <c r="F254" i="8" s="1"/>
  <c r="E255" i="8"/>
  <c r="F255" i="8" s="1"/>
  <c r="E256" i="8"/>
  <c r="F256" i="8" s="1"/>
  <c r="E257" i="8"/>
  <c r="F257" i="8" s="1"/>
  <c r="E258" i="8"/>
  <c r="F258" i="8" s="1"/>
  <c r="E259" i="8"/>
  <c r="F259" i="8" s="1"/>
  <c r="E260" i="8"/>
  <c r="F260" i="8" s="1"/>
  <c r="E261" i="8"/>
  <c r="F261" i="8" s="1"/>
  <c r="E262" i="8"/>
  <c r="F262" i="8" s="1"/>
  <c r="E263" i="8"/>
  <c r="F263" i="8" s="1"/>
  <c r="E264" i="8"/>
  <c r="F264" i="8" s="1"/>
  <c r="E265" i="8"/>
  <c r="F265" i="8" s="1"/>
  <c r="E266" i="8"/>
  <c r="F266" i="8" s="1"/>
  <c r="E267" i="8"/>
  <c r="F267" i="8" s="1"/>
  <c r="E268" i="8"/>
  <c r="F268" i="8" s="1"/>
  <c r="E269" i="8"/>
  <c r="F269" i="8" s="1"/>
  <c r="E270" i="8"/>
  <c r="F270" i="8" s="1"/>
  <c r="E271" i="8"/>
  <c r="F271" i="8" s="1"/>
  <c r="E272" i="8"/>
  <c r="F272" i="8" s="1"/>
  <c r="E273" i="8"/>
  <c r="F273" i="8" s="1"/>
  <c r="E274" i="8"/>
  <c r="F274" i="8" s="1"/>
  <c r="E275" i="8"/>
  <c r="F275" i="8" s="1"/>
  <c r="E276" i="8"/>
  <c r="F276" i="8" s="1"/>
  <c r="E277" i="8"/>
  <c r="F277" i="8" s="1"/>
  <c r="E278" i="8"/>
  <c r="F278" i="8" s="1"/>
  <c r="E279" i="8"/>
  <c r="F279" i="8" s="1"/>
  <c r="E280" i="8"/>
  <c r="F280" i="8" s="1"/>
  <c r="E281" i="8"/>
  <c r="F281" i="8" s="1"/>
  <c r="E282" i="8"/>
  <c r="F282" i="8" s="1"/>
  <c r="E283" i="8"/>
  <c r="F283" i="8" s="1"/>
  <c r="E284" i="8"/>
  <c r="F284" i="8" s="1"/>
  <c r="E285" i="8"/>
  <c r="F285" i="8" s="1"/>
  <c r="E286" i="8"/>
  <c r="F286" i="8" s="1"/>
  <c r="E287" i="8"/>
  <c r="F287" i="8" s="1"/>
  <c r="E288" i="8"/>
  <c r="F288" i="8" s="1"/>
  <c r="E289" i="8"/>
  <c r="F289" i="8" s="1"/>
  <c r="E290" i="8"/>
  <c r="F290" i="8" s="1"/>
  <c r="E291" i="8"/>
  <c r="F291" i="8" s="1"/>
  <c r="E292" i="8"/>
  <c r="F292" i="8" s="1"/>
  <c r="E293" i="8"/>
  <c r="F293" i="8" s="1"/>
  <c r="E294" i="8"/>
  <c r="F294" i="8" s="1"/>
  <c r="E295" i="8"/>
  <c r="F295" i="8" s="1"/>
  <c r="E296" i="8"/>
  <c r="F296" i="8" s="1"/>
  <c r="E297" i="8"/>
  <c r="F297" i="8" s="1"/>
  <c r="E298" i="8"/>
  <c r="F298" i="8" s="1"/>
  <c r="E299" i="8"/>
  <c r="F299" i="8" s="1"/>
  <c r="E300" i="8"/>
  <c r="F300" i="8" s="1"/>
  <c r="E301" i="8"/>
  <c r="E302" i="8"/>
  <c r="F302" i="8" s="1"/>
  <c r="E303" i="8"/>
  <c r="F303" i="8" s="1"/>
  <c r="E304" i="8"/>
  <c r="F304" i="8" s="1"/>
  <c r="E305" i="8"/>
  <c r="F305" i="8" s="1"/>
  <c r="E306" i="8"/>
  <c r="F306" i="8" s="1"/>
  <c r="E307" i="8"/>
  <c r="F307" i="8" s="1"/>
  <c r="E308" i="8"/>
  <c r="F308" i="8" s="1"/>
  <c r="E309" i="8"/>
  <c r="F309" i="8" s="1"/>
  <c r="E310" i="8"/>
  <c r="F310" i="8" s="1"/>
  <c r="E311" i="8"/>
  <c r="F311" i="8" s="1"/>
  <c r="E312" i="8"/>
  <c r="F312" i="8" s="1"/>
  <c r="E313" i="8"/>
  <c r="F313" i="8" s="1"/>
  <c r="E314" i="8"/>
  <c r="F314" i="8" s="1"/>
  <c r="E315" i="8"/>
  <c r="F315" i="8" s="1"/>
  <c r="E316" i="8"/>
  <c r="F316" i="8" s="1"/>
  <c r="E317" i="8"/>
  <c r="F317" i="8" s="1"/>
  <c r="E318" i="8"/>
  <c r="F318" i="8" s="1"/>
  <c r="E319" i="8"/>
  <c r="F319" i="8" s="1"/>
  <c r="E320" i="8"/>
  <c r="F320" i="8" s="1"/>
  <c r="E321" i="8"/>
  <c r="F321" i="8" s="1"/>
  <c r="E322" i="8"/>
  <c r="F322" i="8" s="1"/>
  <c r="E323" i="8"/>
  <c r="F323" i="8" s="1"/>
  <c r="E324" i="8"/>
  <c r="F324" i="8" s="1"/>
  <c r="E325" i="8"/>
  <c r="F325" i="8" s="1"/>
  <c r="E326" i="8"/>
  <c r="F326" i="8" s="1"/>
  <c r="E327" i="8"/>
  <c r="F327" i="8" s="1"/>
  <c r="E328" i="8"/>
  <c r="F328" i="8" s="1"/>
  <c r="E329" i="8"/>
  <c r="F329" i="8" s="1"/>
  <c r="E330" i="8"/>
  <c r="F330" i="8" s="1"/>
  <c r="E331" i="8"/>
  <c r="F331" i="8" s="1"/>
  <c r="E332" i="8"/>
  <c r="F332" i="8" s="1"/>
  <c r="E333" i="8"/>
  <c r="F333" i="8" s="1"/>
  <c r="E334" i="8"/>
  <c r="F334" i="8" s="1"/>
  <c r="E335" i="8"/>
  <c r="F335" i="8" s="1"/>
  <c r="E336" i="8"/>
  <c r="F336" i="8" s="1"/>
  <c r="E337" i="8"/>
  <c r="F337" i="8" s="1"/>
  <c r="E338" i="8"/>
  <c r="F338" i="8" s="1"/>
  <c r="E339" i="8"/>
  <c r="F339" i="8" s="1"/>
  <c r="E340" i="8"/>
  <c r="F340" i="8" s="1"/>
  <c r="E341" i="8"/>
  <c r="F341" i="8" s="1"/>
  <c r="E342" i="8"/>
  <c r="F342" i="8" s="1"/>
  <c r="E343" i="8"/>
  <c r="F343" i="8" s="1"/>
  <c r="E344" i="8"/>
  <c r="F344" i="8" s="1"/>
  <c r="E345" i="8"/>
  <c r="F345" i="8" s="1"/>
  <c r="E346" i="8"/>
  <c r="F346" i="8" s="1"/>
  <c r="E347" i="8"/>
  <c r="F347" i="8" s="1"/>
  <c r="E348" i="8"/>
  <c r="F348" i="8" s="1"/>
  <c r="E349" i="8"/>
  <c r="F349" i="8" s="1"/>
  <c r="E350" i="8"/>
  <c r="F350" i="8" s="1"/>
  <c r="E351" i="8"/>
  <c r="F351" i="8" s="1"/>
  <c r="E352" i="8"/>
  <c r="F352" i="8" s="1"/>
  <c r="E353" i="8"/>
  <c r="F353" i="8" s="1"/>
  <c r="E354" i="8"/>
  <c r="F354" i="8" s="1"/>
  <c r="E355" i="8"/>
  <c r="F355" i="8" s="1"/>
  <c r="E356" i="8"/>
  <c r="F356" i="8" s="1"/>
  <c r="E357" i="8"/>
  <c r="F357" i="8" s="1"/>
  <c r="E358" i="8"/>
  <c r="F358" i="8" s="1"/>
  <c r="E359" i="8"/>
  <c r="F359" i="8" s="1"/>
  <c r="E360" i="8"/>
  <c r="F360" i="8" s="1"/>
  <c r="E361" i="8"/>
  <c r="F361" i="8" s="1"/>
  <c r="E362" i="8"/>
  <c r="F362" i="8" s="1"/>
  <c r="E363" i="8"/>
  <c r="F363" i="8" s="1"/>
  <c r="E364" i="8"/>
  <c r="F364" i="8" s="1"/>
  <c r="E365" i="8"/>
  <c r="F365" i="8" s="1"/>
  <c r="E366" i="8"/>
  <c r="F366" i="8" s="1"/>
  <c r="E367" i="8"/>
  <c r="F367" i="8" s="1"/>
  <c r="E368" i="8"/>
  <c r="F368" i="8" s="1"/>
  <c r="E369" i="8"/>
  <c r="F369" i="8" s="1"/>
  <c r="E370" i="8"/>
  <c r="F370" i="8" s="1"/>
  <c r="E371" i="8"/>
  <c r="F371" i="8" s="1"/>
  <c r="E372" i="8"/>
  <c r="F372" i="8" s="1"/>
  <c r="E373" i="8"/>
  <c r="F373" i="8" s="1"/>
  <c r="E374" i="8"/>
  <c r="F374" i="8" s="1"/>
  <c r="E375" i="8"/>
  <c r="F375" i="8" s="1"/>
  <c r="E376" i="8"/>
  <c r="F376" i="8" s="1"/>
  <c r="E377" i="8"/>
  <c r="F377" i="8" s="1"/>
  <c r="E378" i="8"/>
  <c r="F378" i="8" s="1"/>
  <c r="E379" i="8"/>
  <c r="F379" i="8" s="1"/>
  <c r="E380" i="8"/>
  <c r="F380" i="8" s="1"/>
  <c r="E381" i="8"/>
  <c r="F381" i="8" s="1"/>
  <c r="E382" i="8"/>
  <c r="F382" i="8" s="1"/>
  <c r="E383" i="8"/>
  <c r="F383" i="8" s="1"/>
  <c r="E384" i="8"/>
  <c r="F384" i="8" s="1"/>
  <c r="E385" i="8"/>
  <c r="F385" i="8" s="1"/>
  <c r="E386" i="8"/>
  <c r="F386" i="8" s="1"/>
  <c r="E387" i="8"/>
  <c r="F387" i="8" s="1"/>
  <c r="E388" i="8"/>
  <c r="F388" i="8" s="1"/>
  <c r="E389" i="8"/>
  <c r="F389" i="8" s="1"/>
  <c r="E390" i="8"/>
  <c r="F390" i="8" s="1"/>
  <c r="E391" i="8"/>
  <c r="F391" i="8" s="1"/>
  <c r="E392" i="8"/>
  <c r="F392" i="8" s="1"/>
  <c r="E393" i="8"/>
  <c r="F393" i="8" s="1"/>
  <c r="E394" i="8"/>
  <c r="F394" i="8" s="1"/>
  <c r="E395" i="8"/>
  <c r="F395" i="8" s="1"/>
  <c r="E396" i="8"/>
  <c r="F396" i="8" s="1"/>
  <c r="E397" i="8"/>
  <c r="F397" i="8" s="1"/>
  <c r="E398" i="8"/>
  <c r="F398" i="8" s="1"/>
  <c r="E399" i="8"/>
  <c r="F399" i="8" s="1"/>
  <c r="E400" i="8"/>
  <c r="F400" i="8" s="1"/>
  <c r="E401" i="8"/>
  <c r="F401" i="8" s="1"/>
  <c r="E402" i="8"/>
  <c r="F402" i="8" s="1"/>
  <c r="E403" i="8"/>
  <c r="F403" i="8" s="1"/>
  <c r="E404" i="8"/>
  <c r="F404" i="8" s="1"/>
  <c r="E405" i="8"/>
  <c r="F405" i="8" s="1"/>
  <c r="E406" i="8"/>
  <c r="F406" i="8" s="1"/>
  <c r="E407" i="8"/>
  <c r="F407" i="8" s="1"/>
  <c r="E408" i="8"/>
  <c r="F408" i="8" s="1"/>
  <c r="E409" i="8"/>
  <c r="F409" i="8" s="1"/>
  <c r="E410" i="8"/>
  <c r="F410" i="8" s="1"/>
  <c r="E411" i="8"/>
  <c r="F411" i="8" s="1"/>
  <c r="E412" i="8"/>
  <c r="F412" i="8" s="1"/>
  <c r="E413" i="8"/>
  <c r="F413" i="8" s="1"/>
  <c r="E414" i="8"/>
  <c r="F414" i="8" s="1"/>
  <c r="E415" i="8"/>
  <c r="F415" i="8" s="1"/>
  <c r="E416" i="8"/>
  <c r="F416" i="8" s="1"/>
  <c r="E417" i="8"/>
  <c r="F417" i="8" s="1"/>
  <c r="E418" i="8"/>
  <c r="F418" i="8" s="1"/>
  <c r="E419" i="8"/>
  <c r="F419" i="8" s="1"/>
  <c r="E420" i="8"/>
  <c r="F420" i="8" s="1"/>
  <c r="E421" i="8"/>
  <c r="F421" i="8" s="1"/>
  <c r="E422" i="8"/>
  <c r="F422" i="8" s="1"/>
  <c r="E423" i="8"/>
  <c r="F423" i="8" s="1"/>
  <c r="E424" i="8"/>
  <c r="F424" i="8" s="1"/>
  <c r="E425" i="8"/>
  <c r="F425" i="8" s="1"/>
  <c r="E426" i="8"/>
  <c r="F426" i="8" s="1"/>
  <c r="E427" i="8"/>
  <c r="F427" i="8" s="1"/>
  <c r="E428" i="8"/>
  <c r="F428" i="8" s="1"/>
  <c r="E429" i="8"/>
  <c r="F429" i="8" s="1"/>
  <c r="E430" i="8"/>
  <c r="F430" i="8" s="1"/>
  <c r="E431" i="8"/>
  <c r="F431" i="8" s="1"/>
  <c r="E432" i="8"/>
  <c r="F432" i="8" s="1"/>
  <c r="E433" i="8"/>
  <c r="F433" i="8" s="1"/>
  <c r="E434" i="8"/>
  <c r="F434" i="8" s="1"/>
  <c r="E435" i="8"/>
  <c r="F435" i="8" s="1"/>
  <c r="E436" i="8"/>
  <c r="F436" i="8" s="1"/>
  <c r="E437" i="8"/>
  <c r="F437" i="8" s="1"/>
  <c r="E438" i="8"/>
  <c r="F438" i="8" s="1"/>
  <c r="E439" i="8"/>
  <c r="F439" i="8" s="1"/>
  <c r="E440" i="8"/>
  <c r="F440" i="8" s="1"/>
  <c r="E441" i="8"/>
  <c r="F441" i="8" s="1"/>
  <c r="E442" i="8"/>
  <c r="F442" i="8" s="1"/>
  <c r="E443" i="8"/>
  <c r="F443" i="8" s="1"/>
  <c r="E444" i="8"/>
  <c r="F444" i="8" s="1"/>
  <c r="E445" i="8"/>
  <c r="F445" i="8" s="1"/>
  <c r="E446" i="8"/>
  <c r="F446" i="8" s="1"/>
  <c r="E447" i="8"/>
  <c r="F447" i="8" s="1"/>
  <c r="E448" i="8"/>
  <c r="F448" i="8" s="1"/>
  <c r="E449" i="8"/>
  <c r="F449" i="8" s="1"/>
  <c r="E450" i="8"/>
  <c r="F450" i="8" s="1"/>
  <c r="E451" i="8"/>
  <c r="F451" i="8" s="1"/>
  <c r="E452" i="8"/>
  <c r="F452" i="8" s="1"/>
  <c r="E453" i="8"/>
  <c r="F453" i="8" s="1"/>
  <c r="E454" i="8"/>
  <c r="F454" i="8" s="1"/>
  <c r="E455" i="8"/>
  <c r="F455" i="8" s="1"/>
  <c r="E456" i="8"/>
  <c r="F456" i="8" s="1"/>
  <c r="E457" i="8"/>
  <c r="F457" i="8" s="1"/>
  <c r="E458" i="8"/>
  <c r="F458" i="8" s="1"/>
  <c r="E459" i="8"/>
  <c r="F459" i="8" s="1"/>
  <c r="E460" i="8"/>
  <c r="F460" i="8" s="1"/>
  <c r="E461" i="8"/>
  <c r="F461" i="8" s="1"/>
  <c r="E462" i="8"/>
  <c r="F462" i="8" s="1"/>
  <c r="E463" i="8"/>
  <c r="F463" i="8" s="1"/>
  <c r="E464" i="8"/>
  <c r="F464" i="8" s="1"/>
  <c r="E465" i="8"/>
  <c r="F465" i="8" s="1"/>
  <c r="E466" i="8"/>
  <c r="F466" i="8" s="1"/>
  <c r="E467" i="8"/>
  <c r="F467" i="8" s="1"/>
  <c r="E468" i="8"/>
  <c r="F468" i="8" s="1"/>
  <c r="E469" i="8"/>
  <c r="F469" i="8" s="1"/>
  <c r="E470" i="8"/>
  <c r="F470" i="8" s="1"/>
  <c r="E471" i="8"/>
  <c r="F471" i="8" s="1"/>
  <c r="E472" i="8"/>
  <c r="F472" i="8" s="1"/>
  <c r="E473" i="8"/>
  <c r="F473" i="8" s="1"/>
  <c r="E474" i="8"/>
  <c r="F474" i="8" s="1"/>
  <c r="E475" i="8"/>
  <c r="F475" i="8" s="1"/>
  <c r="E476" i="8"/>
  <c r="F476" i="8" s="1"/>
  <c r="E477" i="8"/>
  <c r="F477" i="8" s="1"/>
  <c r="E478" i="8"/>
  <c r="F478" i="8" s="1"/>
  <c r="E479" i="8"/>
  <c r="F479" i="8" s="1"/>
  <c r="E480" i="8"/>
  <c r="F480" i="8" s="1"/>
  <c r="E481" i="8"/>
  <c r="E482" i="8"/>
  <c r="F482" i="8" s="1"/>
  <c r="E483" i="8"/>
  <c r="E484" i="8"/>
  <c r="F484" i="8" s="1"/>
  <c r="E485" i="8"/>
  <c r="F485" i="8" s="1"/>
  <c r="E486" i="8"/>
  <c r="F486" i="8" s="1"/>
  <c r="E487" i="8"/>
  <c r="F487" i="8" s="1"/>
  <c r="E488" i="8"/>
  <c r="F488" i="8" s="1"/>
  <c r="E489" i="8"/>
  <c r="F489" i="8" s="1"/>
  <c r="E490" i="8"/>
  <c r="F490" i="8" s="1"/>
  <c r="E491" i="8"/>
  <c r="F491" i="8" s="1"/>
  <c r="E492" i="8"/>
  <c r="F492" i="8" s="1"/>
  <c r="E493" i="8"/>
  <c r="F493" i="8" s="1"/>
  <c r="E494" i="8"/>
  <c r="F494" i="8" s="1"/>
  <c r="E495" i="8"/>
  <c r="F495" i="8" s="1"/>
  <c r="E496" i="8"/>
  <c r="F496" i="8" s="1"/>
  <c r="E497" i="8"/>
  <c r="F497" i="8" s="1"/>
  <c r="E498" i="8"/>
  <c r="F498" i="8" s="1"/>
  <c r="E499" i="8"/>
  <c r="E500" i="8"/>
  <c r="E501" i="8"/>
  <c r="E502" i="8"/>
  <c r="F502" i="8" s="1"/>
  <c r="E503" i="8"/>
  <c r="E504" i="8"/>
  <c r="F504" i="8" s="1"/>
  <c r="E505" i="8"/>
  <c r="F505" i="8" s="1"/>
  <c r="E506" i="8"/>
  <c r="F506" i="8" s="1"/>
  <c r="E507" i="8"/>
  <c r="F507" i="8" s="1"/>
  <c r="E508" i="8"/>
  <c r="F508" i="8" s="1"/>
  <c r="E509" i="8"/>
  <c r="F509" i="8" s="1"/>
  <c r="E510" i="8"/>
  <c r="F510" i="8" s="1"/>
  <c r="E511" i="8"/>
  <c r="F511" i="8" s="1"/>
  <c r="E512" i="8"/>
  <c r="F512" i="8" s="1"/>
  <c r="E513" i="8"/>
  <c r="F513" i="8" s="1"/>
  <c r="E514" i="8"/>
  <c r="F514" i="8" s="1"/>
  <c r="E515" i="8"/>
  <c r="F515" i="8" s="1"/>
  <c r="E516" i="8"/>
  <c r="F516" i="8" s="1"/>
  <c r="E517" i="8"/>
  <c r="F517" i="8" s="1"/>
  <c r="E518" i="8"/>
  <c r="F518" i="8" s="1"/>
  <c r="E519" i="8"/>
  <c r="F519" i="8" s="1"/>
  <c r="E520" i="8"/>
  <c r="F520" i="8" s="1"/>
  <c r="E521" i="8"/>
  <c r="F521" i="8" s="1"/>
  <c r="E522" i="8"/>
  <c r="F522" i="8" s="1"/>
  <c r="E523" i="8"/>
  <c r="F523" i="8" s="1"/>
  <c r="E524" i="8"/>
  <c r="F524" i="8" s="1"/>
  <c r="E525" i="8"/>
  <c r="F525" i="8" s="1"/>
  <c r="E526" i="8"/>
  <c r="F526" i="8" s="1"/>
  <c r="E527" i="8"/>
  <c r="F527" i="8" s="1"/>
  <c r="E528" i="8"/>
  <c r="F528" i="8" s="1"/>
  <c r="E529" i="8"/>
  <c r="F529" i="8" s="1"/>
  <c r="E530" i="8"/>
  <c r="F530" i="8" s="1"/>
  <c r="E531" i="8"/>
  <c r="F531" i="8" s="1"/>
  <c r="E532" i="8"/>
  <c r="F532" i="8" s="1"/>
  <c r="E533" i="8"/>
  <c r="F533" i="8" s="1"/>
  <c r="E534" i="8"/>
  <c r="F534" i="8" s="1"/>
  <c r="E535" i="8"/>
  <c r="F535" i="8" s="1"/>
  <c r="E536" i="8"/>
  <c r="F536" i="8" s="1"/>
  <c r="E537" i="8"/>
  <c r="F537" i="8" s="1"/>
  <c r="E538" i="8"/>
  <c r="F538" i="8" s="1"/>
  <c r="E539" i="8"/>
  <c r="E540" i="8"/>
  <c r="F540" i="8" s="1"/>
  <c r="E541" i="8"/>
  <c r="F541" i="8" s="1"/>
  <c r="E542" i="8"/>
  <c r="F542" i="8" s="1"/>
  <c r="E543" i="8"/>
  <c r="F543" i="8" s="1"/>
  <c r="E544" i="8"/>
  <c r="F544" i="8" s="1"/>
  <c r="E545" i="8"/>
  <c r="F545" i="8" s="1"/>
  <c r="E546" i="8"/>
  <c r="F546" i="8" s="1"/>
  <c r="E547" i="8"/>
  <c r="F547" i="8" s="1"/>
  <c r="E548" i="8"/>
  <c r="F548" i="8" s="1"/>
  <c r="E549" i="8"/>
  <c r="F549" i="8" s="1"/>
  <c r="E550" i="8"/>
  <c r="F550" i="8" s="1"/>
  <c r="E551" i="8"/>
  <c r="F551" i="8" s="1"/>
  <c r="E552" i="8"/>
  <c r="F552" i="8" s="1"/>
  <c r="E553" i="8"/>
  <c r="F553" i="8" s="1"/>
  <c r="E554" i="8"/>
  <c r="F554" i="8" s="1"/>
  <c r="E555" i="8"/>
  <c r="F555" i="8" s="1"/>
  <c r="E556" i="8"/>
  <c r="F556" i="8" s="1"/>
  <c r="E557" i="8"/>
  <c r="F557" i="8" s="1"/>
  <c r="E558" i="8"/>
  <c r="F558" i="8" s="1"/>
  <c r="E559" i="8"/>
  <c r="F559" i="8" s="1"/>
  <c r="E560" i="8"/>
  <c r="F560" i="8" s="1"/>
  <c r="E561" i="8"/>
  <c r="F561" i="8" s="1"/>
  <c r="E562" i="8"/>
  <c r="F562" i="8" s="1"/>
  <c r="E563" i="8"/>
  <c r="F563" i="8" s="1"/>
  <c r="E564" i="8"/>
  <c r="F564" i="8" s="1"/>
  <c r="E565" i="8"/>
  <c r="F565" i="8" s="1"/>
  <c r="E566" i="8"/>
  <c r="F566" i="8" s="1"/>
  <c r="E567" i="8"/>
  <c r="F567" i="8" s="1"/>
  <c r="E568" i="8"/>
  <c r="F568" i="8" s="1"/>
  <c r="E569" i="8"/>
  <c r="F569" i="8" s="1"/>
  <c r="E570" i="8"/>
  <c r="F570" i="8" s="1"/>
  <c r="E571" i="8"/>
  <c r="F571" i="8" s="1"/>
  <c r="E572" i="8"/>
  <c r="F572" i="8" s="1"/>
  <c r="E573" i="8"/>
  <c r="F573" i="8" s="1"/>
  <c r="E574" i="8"/>
  <c r="F574" i="8" s="1"/>
  <c r="E575" i="8"/>
  <c r="F575" i="8" s="1"/>
  <c r="E576" i="8"/>
  <c r="F576" i="8" s="1"/>
  <c r="E577" i="8"/>
  <c r="F577" i="8" s="1"/>
  <c r="E578" i="8"/>
  <c r="F578" i="8" s="1"/>
  <c r="E579" i="8"/>
  <c r="F579" i="8" s="1"/>
  <c r="E580" i="8"/>
  <c r="F580" i="8" s="1"/>
  <c r="E581" i="8"/>
  <c r="F581" i="8" s="1"/>
  <c r="E582" i="8"/>
  <c r="F582" i="8" s="1"/>
  <c r="E583" i="8"/>
  <c r="F583" i="8" s="1"/>
  <c r="E584" i="8"/>
  <c r="F584" i="8" s="1"/>
  <c r="E585" i="8"/>
  <c r="F585" i="8" s="1"/>
  <c r="E586" i="8"/>
  <c r="F586" i="8" s="1"/>
  <c r="E587" i="8"/>
  <c r="F587" i="8" s="1"/>
  <c r="E588" i="8"/>
  <c r="F588" i="8" s="1"/>
  <c r="E589" i="8"/>
  <c r="F589" i="8" s="1"/>
  <c r="E590" i="8"/>
  <c r="F590" i="8" s="1"/>
  <c r="E591" i="8"/>
  <c r="F591" i="8" s="1"/>
  <c r="E592" i="8"/>
  <c r="E593" i="8"/>
  <c r="F593" i="8" s="1"/>
  <c r="E594" i="8"/>
  <c r="F594" i="8" s="1"/>
  <c r="E595" i="8"/>
  <c r="F595" i="8" s="1"/>
  <c r="E596" i="8"/>
  <c r="F596" i="8" s="1"/>
  <c r="E597" i="8"/>
  <c r="F597" i="8" s="1"/>
  <c r="E598" i="8"/>
  <c r="F598" i="8" s="1"/>
  <c r="E599" i="8"/>
  <c r="F599" i="8" s="1"/>
  <c r="E600" i="8"/>
  <c r="F600" i="8" s="1"/>
  <c r="E601" i="8"/>
  <c r="F601" i="8" s="1"/>
  <c r="E602" i="8"/>
  <c r="F602" i="8" s="1"/>
  <c r="E603" i="8"/>
  <c r="F603" i="8" s="1"/>
  <c r="E604" i="8"/>
  <c r="F604" i="8" s="1"/>
  <c r="E605" i="8"/>
  <c r="F605" i="8" s="1"/>
  <c r="E606" i="8"/>
  <c r="F606" i="8" s="1"/>
  <c r="E607" i="8"/>
  <c r="F607" i="8" s="1"/>
  <c r="E608" i="8"/>
  <c r="F608" i="8" s="1"/>
  <c r="E609" i="8"/>
  <c r="F609" i="8" s="1"/>
  <c r="E610" i="8"/>
  <c r="F610" i="8" s="1"/>
  <c r="E611" i="8"/>
  <c r="F611" i="8" s="1"/>
  <c r="E612" i="8"/>
  <c r="F612" i="8" s="1"/>
  <c r="E613" i="8"/>
  <c r="F613" i="8" s="1"/>
  <c r="E614" i="8"/>
  <c r="F614" i="8" s="1"/>
  <c r="E615" i="8"/>
  <c r="F615" i="8" s="1"/>
  <c r="E616" i="8"/>
  <c r="F616" i="8" s="1"/>
  <c r="E617" i="8"/>
  <c r="F617" i="8" s="1"/>
  <c r="E618" i="8"/>
  <c r="F618" i="8" s="1"/>
  <c r="E619" i="8"/>
  <c r="F619" i="8" s="1"/>
  <c r="E620" i="8"/>
  <c r="F620" i="8" s="1"/>
  <c r="E621" i="8"/>
  <c r="F621" i="8" s="1"/>
  <c r="E622" i="8"/>
  <c r="F622" i="8" s="1"/>
  <c r="E623" i="8"/>
  <c r="F623" i="8" s="1"/>
  <c r="E624" i="8"/>
  <c r="F624" i="8" s="1"/>
  <c r="E625" i="8"/>
  <c r="F625" i="8" s="1"/>
  <c r="E626" i="8"/>
  <c r="F626" i="8" s="1"/>
  <c r="E627" i="8"/>
  <c r="F627" i="8" s="1"/>
  <c r="E628" i="8"/>
  <c r="F628" i="8" s="1"/>
  <c r="E629" i="8"/>
  <c r="F629" i="8" s="1"/>
  <c r="E630" i="8"/>
  <c r="F630" i="8" s="1"/>
  <c r="E631" i="8"/>
  <c r="F631" i="8" s="1"/>
  <c r="E632" i="8"/>
  <c r="F632" i="8" s="1"/>
  <c r="E633" i="8"/>
  <c r="F633" i="8" s="1"/>
  <c r="E634" i="8"/>
  <c r="F634" i="8" s="1"/>
  <c r="E635" i="8"/>
  <c r="F635" i="8" s="1"/>
  <c r="E636" i="8"/>
  <c r="F636" i="8" s="1"/>
  <c r="E637" i="8"/>
  <c r="F637" i="8" s="1"/>
  <c r="E638" i="8"/>
  <c r="F638" i="8" s="1"/>
  <c r="E639" i="8"/>
  <c r="F639" i="8" s="1"/>
  <c r="E640" i="8"/>
  <c r="F640" i="8" s="1"/>
  <c r="E641" i="8"/>
  <c r="F641" i="8" s="1"/>
  <c r="E642" i="8"/>
  <c r="F642" i="8" s="1"/>
  <c r="E643" i="8"/>
  <c r="F643" i="8" s="1"/>
  <c r="E644" i="8"/>
  <c r="F644" i="8" s="1"/>
  <c r="E645" i="8"/>
  <c r="F645" i="8" s="1"/>
  <c r="E646" i="8"/>
  <c r="F646" i="8" s="1"/>
  <c r="E647" i="8"/>
  <c r="F647" i="8" s="1"/>
  <c r="E648" i="8"/>
  <c r="F648" i="8" s="1"/>
  <c r="E649" i="8"/>
  <c r="F649" i="8" s="1"/>
  <c r="E650" i="8"/>
  <c r="F650" i="8" s="1"/>
  <c r="E651" i="8"/>
  <c r="F651" i="8" s="1"/>
  <c r="E652" i="8"/>
  <c r="F652" i="8" s="1"/>
  <c r="E653" i="8"/>
  <c r="F653" i="8" s="1"/>
  <c r="E654" i="8"/>
  <c r="F654" i="8" s="1"/>
  <c r="E655" i="8"/>
  <c r="F655" i="8" s="1"/>
  <c r="E656" i="8"/>
  <c r="F656" i="8" s="1"/>
  <c r="E657" i="8"/>
  <c r="F657" i="8" s="1"/>
  <c r="E658" i="8"/>
  <c r="F658" i="8" s="1"/>
  <c r="E659" i="8"/>
  <c r="F659" i="8" s="1"/>
  <c r="E660" i="8"/>
  <c r="F660" i="8" s="1"/>
  <c r="E661" i="8"/>
  <c r="F661" i="8" s="1"/>
  <c r="E662" i="8"/>
  <c r="F662" i="8" s="1"/>
  <c r="E663" i="8"/>
  <c r="F663" i="8" s="1"/>
  <c r="E664" i="8"/>
  <c r="F664" i="8" s="1"/>
  <c r="E665" i="8"/>
  <c r="F665" i="8" s="1"/>
  <c r="E666" i="8"/>
  <c r="F666" i="8" s="1"/>
  <c r="E667" i="8"/>
  <c r="F667" i="8" s="1"/>
  <c r="E668" i="8"/>
  <c r="F668" i="8" s="1"/>
  <c r="E669" i="8"/>
  <c r="F669" i="8" s="1"/>
  <c r="E670" i="8"/>
  <c r="F670" i="8" s="1"/>
  <c r="E671" i="8"/>
  <c r="F671" i="8" s="1"/>
  <c r="E672" i="8"/>
  <c r="F672" i="8" s="1"/>
  <c r="E673" i="8"/>
  <c r="F673" i="8" s="1"/>
  <c r="E674" i="8"/>
  <c r="F674" i="8" s="1"/>
  <c r="E675" i="8"/>
  <c r="F675" i="8" s="1"/>
  <c r="E676" i="8"/>
  <c r="F676" i="8" s="1"/>
  <c r="E677" i="8"/>
  <c r="F677" i="8" s="1"/>
  <c r="E678" i="8"/>
  <c r="F678" i="8" s="1"/>
  <c r="E679" i="8"/>
  <c r="F679" i="8" s="1"/>
  <c r="E680" i="8"/>
  <c r="F680" i="8" s="1"/>
  <c r="E681" i="8"/>
  <c r="F681" i="8" s="1"/>
  <c r="E682" i="8"/>
  <c r="F682" i="8" s="1"/>
  <c r="E683" i="8"/>
  <c r="F683" i="8" s="1"/>
  <c r="E684" i="8"/>
  <c r="F684" i="8" s="1"/>
  <c r="E685" i="8"/>
  <c r="F685" i="8" s="1"/>
  <c r="E686" i="8"/>
  <c r="F686" i="8" s="1"/>
  <c r="E687" i="8"/>
  <c r="F687" i="8" s="1"/>
  <c r="E688" i="8"/>
  <c r="F688" i="8" s="1"/>
  <c r="E689" i="8"/>
  <c r="F689" i="8" s="1"/>
  <c r="E690" i="8"/>
  <c r="F690" i="8" s="1"/>
  <c r="E691" i="8"/>
  <c r="F691" i="8" s="1"/>
  <c r="E692" i="8"/>
  <c r="F692" i="8" s="1"/>
  <c r="E693" i="8"/>
  <c r="F693" i="8" s="1"/>
  <c r="E694" i="8"/>
  <c r="F694" i="8" s="1"/>
  <c r="E695" i="8"/>
  <c r="F695" i="8" s="1"/>
  <c r="E696" i="8"/>
  <c r="F696" i="8" s="1"/>
  <c r="E697" i="8"/>
  <c r="F697" i="8" s="1"/>
  <c r="E698" i="8"/>
  <c r="F698" i="8" s="1"/>
  <c r="E699" i="8"/>
  <c r="F699" i="8" s="1"/>
  <c r="E700" i="8"/>
  <c r="F700" i="8" s="1"/>
  <c r="E701" i="8"/>
  <c r="F701" i="8" s="1"/>
  <c r="E702" i="8"/>
  <c r="F702" i="8" s="1"/>
  <c r="E703" i="8"/>
  <c r="F703" i="8" s="1"/>
  <c r="E704" i="8"/>
  <c r="F704" i="8" s="1"/>
  <c r="E705" i="8"/>
  <c r="F705" i="8" s="1"/>
  <c r="E706" i="8"/>
  <c r="F706" i="8" s="1"/>
  <c r="E707" i="8"/>
  <c r="F707" i="8" s="1"/>
  <c r="E708" i="8"/>
  <c r="F708" i="8" s="1"/>
  <c r="E709" i="8"/>
  <c r="F709" i="8" s="1"/>
  <c r="E710" i="8"/>
  <c r="F710" i="8" s="1"/>
  <c r="E711" i="8"/>
  <c r="F711" i="8" s="1"/>
  <c r="E712" i="8"/>
  <c r="F712" i="8" s="1"/>
  <c r="E713" i="8"/>
  <c r="F713" i="8" s="1"/>
  <c r="E714" i="8"/>
  <c r="F714" i="8" s="1"/>
  <c r="E715" i="8"/>
  <c r="F715" i="8" s="1"/>
  <c r="E716" i="8"/>
  <c r="F716" i="8" s="1"/>
  <c r="E717" i="8"/>
  <c r="F717" i="8" s="1"/>
  <c r="E718" i="8"/>
  <c r="F718" i="8" s="1"/>
  <c r="E719" i="8"/>
  <c r="F719" i="8" s="1"/>
  <c r="E720" i="8"/>
  <c r="F720" i="8" s="1"/>
  <c r="E721" i="8"/>
  <c r="F721" i="8" s="1"/>
  <c r="E722" i="8"/>
  <c r="F722" i="8" s="1"/>
  <c r="E723" i="8"/>
  <c r="F723" i="8" s="1"/>
  <c r="E724" i="8"/>
  <c r="F724" i="8" s="1"/>
  <c r="E725" i="8"/>
  <c r="F725" i="8" s="1"/>
  <c r="E726" i="8"/>
  <c r="F726" i="8" s="1"/>
  <c r="E727" i="8"/>
  <c r="F727" i="8" s="1"/>
  <c r="E728" i="8"/>
  <c r="F728" i="8" s="1"/>
  <c r="E729" i="8"/>
  <c r="F729" i="8" s="1"/>
  <c r="E730" i="8"/>
  <c r="F730" i="8" s="1"/>
  <c r="E731" i="8"/>
  <c r="F731" i="8" s="1"/>
  <c r="E732" i="8"/>
  <c r="F732" i="8" s="1"/>
  <c r="E733" i="8"/>
  <c r="F733" i="8" s="1"/>
  <c r="E734" i="8"/>
  <c r="F734" i="8" s="1"/>
  <c r="E735" i="8"/>
  <c r="F735" i="8" s="1"/>
  <c r="E736" i="8"/>
  <c r="F736" i="8" s="1"/>
  <c r="E737" i="8"/>
  <c r="F737" i="8" s="1"/>
  <c r="E738" i="8"/>
  <c r="F738" i="8" s="1"/>
  <c r="E739" i="8"/>
  <c r="F739" i="8" s="1"/>
  <c r="E740" i="8"/>
  <c r="F740" i="8" s="1"/>
  <c r="E741" i="8"/>
  <c r="F741" i="8" s="1"/>
  <c r="E742" i="8"/>
  <c r="F742" i="8" s="1"/>
  <c r="E743" i="8"/>
  <c r="F743" i="8" s="1"/>
  <c r="E744" i="8"/>
  <c r="F744" i="8" s="1"/>
  <c r="E745" i="8"/>
  <c r="F745" i="8" s="1"/>
  <c r="E746" i="8"/>
  <c r="F746" i="8" s="1"/>
  <c r="E747" i="8"/>
  <c r="F747" i="8" s="1"/>
  <c r="E748" i="8"/>
  <c r="F748" i="8" s="1"/>
  <c r="E749" i="8"/>
  <c r="F749" i="8" s="1"/>
  <c r="E750" i="8"/>
  <c r="F750" i="8" s="1"/>
  <c r="E751" i="8"/>
  <c r="F751" i="8" s="1"/>
  <c r="E752" i="8"/>
  <c r="F752" i="8" s="1"/>
  <c r="E753" i="8"/>
  <c r="F753" i="8" s="1"/>
  <c r="E754" i="8"/>
  <c r="F754" i="8" s="1"/>
  <c r="E755" i="8"/>
  <c r="F755" i="8" s="1"/>
  <c r="E756" i="8"/>
  <c r="F756" i="8" s="1"/>
  <c r="E757" i="8"/>
  <c r="F757" i="8" s="1"/>
  <c r="E758" i="8"/>
  <c r="F758" i="8" s="1"/>
  <c r="E759" i="8"/>
  <c r="F759" i="8" s="1"/>
  <c r="E760" i="8"/>
  <c r="F760" i="8" s="1"/>
  <c r="E761" i="8"/>
  <c r="F761" i="8" s="1"/>
  <c r="E762" i="8"/>
  <c r="F762" i="8" s="1"/>
  <c r="E763" i="8"/>
  <c r="F763" i="8" s="1"/>
  <c r="E764" i="8"/>
  <c r="F764" i="8" s="1"/>
  <c r="E765" i="8"/>
  <c r="F765" i="8" s="1"/>
  <c r="E766" i="8"/>
  <c r="F766" i="8" s="1"/>
  <c r="E767" i="8"/>
  <c r="F767" i="8" s="1"/>
  <c r="E768" i="8"/>
  <c r="F768" i="8" s="1"/>
  <c r="E769" i="8"/>
  <c r="F769" i="8" s="1"/>
  <c r="E770" i="8"/>
  <c r="F770" i="8" s="1"/>
  <c r="E771" i="8"/>
  <c r="F771" i="8" s="1"/>
  <c r="E772" i="8"/>
  <c r="F772" i="8" s="1"/>
  <c r="E773" i="8"/>
  <c r="F773" i="8" s="1"/>
  <c r="E774" i="8"/>
  <c r="F774" i="8" s="1"/>
  <c r="E775" i="8"/>
  <c r="F775" i="8" s="1"/>
  <c r="E776" i="8"/>
  <c r="F776" i="8" s="1"/>
  <c r="E777" i="8"/>
  <c r="F777" i="8" s="1"/>
  <c r="E778" i="8"/>
  <c r="F778" i="8" s="1"/>
  <c r="E779" i="8"/>
  <c r="F779" i="8" s="1"/>
  <c r="E780" i="8"/>
  <c r="F780" i="8" s="1"/>
  <c r="E781" i="8"/>
  <c r="E782" i="8"/>
  <c r="F782" i="8" s="1"/>
  <c r="E783" i="8"/>
  <c r="E784" i="8"/>
  <c r="F784" i="8" s="1"/>
  <c r="E785" i="8"/>
  <c r="F785" i="8" s="1"/>
  <c r="E786" i="8"/>
  <c r="F786" i="8" s="1"/>
  <c r="E787" i="8"/>
  <c r="F787" i="8" s="1"/>
  <c r="E788" i="8"/>
  <c r="F788" i="8" s="1"/>
  <c r="E789" i="8"/>
  <c r="F789" i="8" s="1"/>
  <c r="E790" i="8"/>
  <c r="F790" i="8" s="1"/>
  <c r="E791" i="8"/>
  <c r="F791" i="8" s="1"/>
  <c r="E792" i="8"/>
  <c r="F792" i="8" s="1"/>
  <c r="E793" i="8"/>
  <c r="F793" i="8" s="1"/>
  <c r="E794" i="8"/>
  <c r="F794" i="8" s="1"/>
  <c r="E795" i="8"/>
  <c r="F795" i="8" s="1"/>
  <c r="E796" i="8"/>
  <c r="F796" i="8" s="1"/>
  <c r="E797" i="8"/>
  <c r="F797" i="8" s="1"/>
  <c r="E798" i="8"/>
  <c r="F798" i="8" s="1"/>
  <c r="E799" i="8"/>
  <c r="F799" i="8" s="1"/>
  <c r="E800" i="8"/>
  <c r="F800" i="8" s="1"/>
  <c r="E801" i="8"/>
  <c r="F801" i="8" s="1"/>
  <c r="E802" i="8"/>
  <c r="E803" i="8"/>
  <c r="F803" i="8" s="1"/>
  <c r="E804" i="8"/>
  <c r="F804" i="8" s="1"/>
  <c r="E805" i="8"/>
  <c r="F805" i="8" s="1"/>
  <c r="E806" i="8"/>
  <c r="F806" i="8" s="1"/>
  <c r="E807" i="8"/>
  <c r="F807" i="8" s="1"/>
  <c r="E808" i="8"/>
  <c r="F808" i="8" s="1"/>
  <c r="E809" i="8"/>
  <c r="F809" i="8" s="1"/>
  <c r="E810" i="8"/>
  <c r="F810" i="8" s="1"/>
  <c r="E811" i="8"/>
  <c r="F811" i="8" s="1"/>
  <c r="E812" i="8"/>
  <c r="E813" i="8"/>
  <c r="F813" i="8" s="1"/>
  <c r="E814" i="8"/>
  <c r="F814" i="8" s="1"/>
  <c r="E815" i="8"/>
  <c r="F815" i="8" s="1"/>
  <c r="E816" i="8"/>
  <c r="F816" i="8" s="1"/>
  <c r="E817" i="8"/>
  <c r="F817" i="8" s="1"/>
  <c r="E818" i="8"/>
  <c r="F818" i="8" s="1"/>
  <c r="E819" i="8"/>
  <c r="F819" i="8" s="1"/>
  <c r="E820" i="8"/>
  <c r="F820" i="8" s="1"/>
  <c r="E821" i="8"/>
  <c r="F821" i="8" s="1"/>
  <c r="E822" i="8"/>
  <c r="F822" i="8" s="1"/>
  <c r="E823" i="8"/>
  <c r="F823" i="8" s="1"/>
  <c r="E824" i="8"/>
  <c r="F824" i="8" s="1"/>
  <c r="E825" i="8"/>
  <c r="F825" i="8" s="1"/>
  <c r="E826" i="8"/>
  <c r="F826" i="8" s="1"/>
  <c r="E827" i="8"/>
  <c r="F827" i="8" s="1"/>
  <c r="E828" i="8"/>
  <c r="F828" i="8" s="1"/>
  <c r="E829" i="8"/>
  <c r="F829" i="8" s="1"/>
  <c r="E830" i="8"/>
  <c r="F830" i="8" s="1"/>
  <c r="E831" i="8"/>
  <c r="F831" i="8" s="1"/>
  <c r="E832" i="8"/>
  <c r="F832" i="8" s="1"/>
  <c r="E833" i="8"/>
  <c r="F833" i="8" s="1"/>
  <c r="E834" i="8"/>
  <c r="F834" i="8" s="1"/>
  <c r="E835" i="8"/>
  <c r="F835" i="8" s="1"/>
  <c r="E836" i="8"/>
  <c r="F836" i="8" s="1"/>
  <c r="E837" i="8"/>
  <c r="F837" i="8" s="1"/>
  <c r="E838" i="8"/>
  <c r="F838" i="8" s="1"/>
  <c r="E839" i="8"/>
  <c r="F839" i="8" s="1"/>
  <c r="E840" i="8"/>
  <c r="F840" i="8" s="1"/>
  <c r="E841" i="8"/>
  <c r="F841" i="8" s="1"/>
  <c r="E842" i="8"/>
  <c r="F842" i="8" s="1"/>
  <c r="E843" i="8"/>
  <c r="F843" i="8" s="1"/>
  <c r="E844" i="8"/>
  <c r="F844" i="8" s="1"/>
  <c r="E845" i="8"/>
  <c r="F845" i="8" s="1"/>
  <c r="E846" i="8"/>
  <c r="F846" i="8" s="1"/>
  <c r="E847" i="8"/>
  <c r="F847" i="8" s="1"/>
  <c r="E848" i="8"/>
  <c r="F848" i="8" s="1"/>
  <c r="E849" i="8"/>
  <c r="F849" i="8" s="1"/>
  <c r="E850" i="8"/>
  <c r="F850" i="8" s="1"/>
  <c r="E851" i="8"/>
  <c r="F851" i="8" s="1"/>
  <c r="E852" i="8"/>
  <c r="F852" i="8" s="1"/>
  <c r="E853" i="8"/>
  <c r="F853" i="8" s="1"/>
  <c r="E854" i="8"/>
  <c r="F854" i="8" s="1"/>
  <c r="E855" i="8"/>
  <c r="F855" i="8" s="1"/>
  <c r="E856" i="8"/>
  <c r="F856" i="8" s="1"/>
  <c r="E857" i="8"/>
  <c r="F857" i="8" s="1"/>
  <c r="E858" i="8"/>
  <c r="F858" i="8" s="1"/>
  <c r="E859" i="8"/>
  <c r="F859" i="8" s="1"/>
  <c r="E860" i="8"/>
  <c r="F860" i="8" s="1"/>
  <c r="E861" i="8"/>
  <c r="F861" i="8" s="1"/>
  <c r="E862" i="8"/>
  <c r="F862" i="8" s="1"/>
  <c r="E863" i="8"/>
  <c r="F863" i="8" s="1"/>
  <c r="E864" i="8"/>
  <c r="F864" i="8" s="1"/>
  <c r="E865" i="8"/>
  <c r="F865" i="8" s="1"/>
  <c r="E866" i="8"/>
  <c r="F866" i="8" s="1"/>
  <c r="E867" i="8"/>
  <c r="F867" i="8" s="1"/>
  <c r="E868" i="8"/>
  <c r="F868" i="8" s="1"/>
  <c r="E869" i="8"/>
  <c r="F869" i="8" s="1"/>
  <c r="E870" i="8"/>
  <c r="F870" i="8" s="1"/>
  <c r="E871" i="8"/>
  <c r="F871" i="8" s="1"/>
  <c r="E872" i="8"/>
  <c r="F872" i="8" s="1"/>
  <c r="E873" i="8"/>
  <c r="F873" i="8" s="1"/>
  <c r="E874" i="8"/>
  <c r="F874" i="8" s="1"/>
  <c r="E875" i="8"/>
  <c r="F875" i="8" s="1"/>
  <c r="E876" i="8"/>
  <c r="F876" i="8" s="1"/>
  <c r="E877" i="8"/>
  <c r="F877" i="8" s="1"/>
  <c r="E878" i="8"/>
  <c r="F878" i="8" s="1"/>
  <c r="E879" i="8"/>
  <c r="F879" i="8" s="1"/>
  <c r="E880" i="8"/>
  <c r="F880" i="8" s="1"/>
  <c r="E881" i="8"/>
  <c r="F881" i="8" s="1"/>
  <c r="E882" i="8"/>
  <c r="F882" i="8" s="1"/>
  <c r="E883" i="8"/>
  <c r="F883" i="8" s="1"/>
  <c r="E884" i="8"/>
  <c r="F884" i="8" s="1"/>
  <c r="E885" i="8"/>
  <c r="F885" i="8" s="1"/>
  <c r="E886" i="8"/>
  <c r="F886" i="8" s="1"/>
  <c r="E887" i="8"/>
  <c r="F887" i="8" s="1"/>
  <c r="E888" i="8"/>
  <c r="F888" i="8" s="1"/>
  <c r="E889" i="8"/>
  <c r="F889" i="8" s="1"/>
  <c r="E890" i="8"/>
  <c r="F890" i="8" s="1"/>
  <c r="E891" i="8"/>
  <c r="F891" i="8" s="1"/>
  <c r="E892" i="8"/>
  <c r="F892" i="8" s="1"/>
  <c r="E893" i="8"/>
  <c r="F893" i="8" s="1"/>
  <c r="E894" i="8"/>
  <c r="F894" i="8" s="1"/>
  <c r="E895" i="8"/>
  <c r="F895" i="8" s="1"/>
  <c r="E896" i="8"/>
  <c r="F896" i="8" s="1"/>
  <c r="E897" i="8"/>
  <c r="F897" i="8" s="1"/>
  <c r="E898" i="8"/>
  <c r="F898" i="8" s="1"/>
  <c r="E899" i="8"/>
  <c r="F899" i="8" s="1"/>
  <c r="E900" i="8"/>
  <c r="F900" i="8" s="1"/>
  <c r="E901" i="8"/>
  <c r="F901" i="8" s="1"/>
  <c r="E902" i="8"/>
  <c r="F902" i="8" s="1"/>
  <c r="E903" i="8"/>
  <c r="F903" i="8" s="1"/>
  <c r="E904" i="8"/>
  <c r="F904" i="8" s="1"/>
  <c r="E905" i="8"/>
  <c r="F905" i="8" s="1"/>
  <c r="E906" i="8"/>
  <c r="F906" i="8" s="1"/>
  <c r="E907" i="8"/>
  <c r="F907" i="8" s="1"/>
  <c r="E908" i="8"/>
  <c r="F908" i="8" s="1"/>
  <c r="E909" i="8"/>
  <c r="F909" i="8" s="1"/>
  <c r="E910" i="8"/>
  <c r="F910" i="8" s="1"/>
  <c r="E911" i="8"/>
  <c r="F911" i="8" s="1"/>
  <c r="E912" i="8"/>
  <c r="F912" i="8" s="1"/>
  <c r="E913" i="8"/>
  <c r="F913" i="8" s="1"/>
  <c r="E914" i="8"/>
  <c r="F914" i="8" s="1"/>
  <c r="E915" i="8"/>
  <c r="F915" i="8" s="1"/>
  <c r="E916" i="8"/>
  <c r="F916" i="8" s="1"/>
  <c r="E917" i="8"/>
  <c r="F917" i="8" s="1"/>
  <c r="E918" i="8"/>
  <c r="F918" i="8" s="1"/>
  <c r="E919" i="8"/>
  <c r="F919" i="8" s="1"/>
  <c r="E920" i="8"/>
  <c r="F920" i="8" s="1"/>
  <c r="E921" i="8"/>
  <c r="F921" i="8" s="1"/>
  <c r="E922" i="8"/>
  <c r="F922" i="8" s="1"/>
  <c r="E923" i="8"/>
  <c r="F923" i="8" s="1"/>
  <c r="E924" i="8"/>
  <c r="F924" i="8" s="1"/>
  <c r="E925" i="8"/>
  <c r="F925" i="8" s="1"/>
  <c r="E926" i="8"/>
  <c r="F926" i="8" s="1"/>
  <c r="E927" i="8"/>
  <c r="F927" i="8" s="1"/>
  <c r="E928" i="8"/>
  <c r="F928" i="8" s="1"/>
  <c r="E929" i="8"/>
  <c r="F929" i="8" s="1"/>
  <c r="E930" i="8"/>
  <c r="F930" i="8" s="1"/>
  <c r="E931" i="8"/>
  <c r="F931" i="8" s="1"/>
  <c r="E932" i="8"/>
  <c r="F932" i="8" s="1"/>
  <c r="E933" i="8"/>
  <c r="F933" i="8" s="1"/>
  <c r="E934" i="8"/>
  <c r="F934" i="8" s="1"/>
  <c r="E935" i="8"/>
  <c r="F935" i="8" s="1"/>
  <c r="E936" i="8"/>
  <c r="F936" i="8" s="1"/>
  <c r="E937" i="8"/>
  <c r="F937" i="8" s="1"/>
  <c r="E938" i="8"/>
  <c r="F938" i="8" s="1"/>
  <c r="E939" i="8"/>
  <c r="F939" i="8" s="1"/>
  <c r="E940" i="8"/>
  <c r="F940" i="8" s="1"/>
  <c r="E941" i="8"/>
  <c r="F941" i="8" s="1"/>
  <c r="E942" i="8"/>
  <c r="F942" i="8" s="1"/>
  <c r="E943" i="8"/>
  <c r="F943" i="8" s="1"/>
  <c r="E944" i="8"/>
  <c r="F944" i="8" s="1"/>
  <c r="E945" i="8"/>
  <c r="F945" i="8" s="1"/>
  <c r="E946" i="8"/>
  <c r="F946" i="8" s="1"/>
  <c r="E947" i="8"/>
  <c r="F947" i="8" s="1"/>
  <c r="E948" i="8"/>
  <c r="F948" i="8" s="1"/>
  <c r="E949" i="8"/>
  <c r="F949" i="8" s="1"/>
  <c r="E950" i="8"/>
  <c r="F950" i="8" s="1"/>
  <c r="E951" i="8"/>
  <c r="F951" i="8" s="1"/>
  <c r="E952" i="8"/>
  <c r="F952" i="8" s="1"/>
  <c r="E953" i="8"/>
  <c r="F953" i="8" s="1"/>
  <c r="E954" i="8"/>
  <c r="F954" i="8" s="1"/>
  <c r="E955" i="8"/>
  <c r="F955" i="8" s="1"/>
  <c r="E956" i="8"/>
  <c r="F956" i="8" s="1"/>
  <c r="E957" i="8"/>
  <c r="F957" i="8" s="1"/>
  <c r="E958" i="8"/>
  <c r="F958" i="8" s="1"/>
  <c r="E959" i="8"/>
  <c r="F959" i="8" s="1"/>
  <c r="E960" i="8"/>
  <c r="F960" i="8" s="1"/>
  <c r="E961" i="8"/>
  <c r="F961" i="8" s="1"/>
  <c r="E962" i="8"/>
  <c r="F962" i="8" s="1"/>
  <c r="E963" i="8"/>
  <c r="F963" i="8" s="1"/>
  <c r="E964" i="8"/>
  <c r="F964" i="8" s="1"/>
  <c r="E965" i="8"/>
  <c r="F965" i="8" s="1"/>
  <c r="E966" i="8"/>
  <c r="F966" i="8" s="1"/>
  <c r="E967" i="8"/>
  <c r="F967" i="8" s="1"/>
  <c r="E968" i="8"/>
  <c r="F968" i="8" s="1"/>
  <c r="E969" i="8"/>
  <c r="F969" i="8" s="1"/>
  <c r="E970" i="8"/>
  <c r="F970" i="8" s="1"/>
  <c r="E971" i="8"/>
  <c r="F971" i="8" s="1"/>
  <c r="E972" i="8"/>
  <c r="F972" i="8" s="1"/>
  <c r="E973" i="8"/>
  <c r="F973" i="8" s="1"/>
  <c r="E974" i="8"/>
  <c r="F974" i="8" s="1"/>
  <c r="E975" i="8"/>
  <c r="F975" i="8" s="1"/>
  <c r="E976" i="8"/>
  <c r="F976" i="8" s="1"/>
  <c r="E977" i="8"/>
  <c r="F977" i="8" s="1"/>
  <c r="E978" i="8"/>
  <c r="F978" i="8" s="1"/>
  <c r="E979" i="8"/>
  <c r="F979" i="8" s="1"/>
  <c r="E980" i="8"/>
  <c r="F980" i="8" s="1"/>
  <c r="E981" i="8"/>
  <c r="F981" i="8" s="1"/>
  <c r="E982" i="8"/>
  <c r="F982" i="8" s="1"/>
  <c r="E983" i="8"/>
  <c r="F983" i="8" s="1"/>
  <c r="E984" i="8"/>
  <c r="F984" i="8" s="1"/>
  <c r="E985" i="8"/>
  <c r="F985" i="8" s="1"/>
  <c r="E986" i="8"/>
  <c r="F986" i="8" s="1"/>
  <c r="E987" i="8"/>
  <c r="F987" i="8" s="1"/>
  <c r="E988" i="8"/>
  <c r="F988" i="8" s="1"/>
  <c r="E989" i="8"/>
  <c r="F989" i="8" s="1"/>
  <c r="E990" i="8"/>
  <c r="F990" i="8" s="1"/>
  <c r="E991" i="8"/>
  <c r="F991" i="8" s="1"/>
  <c r="E992" i="8"/>
  <c r="F992" i="8" s="1"/>
  <c r="E993" i="8"/>
  <c r="F993" i="8" s="1"/>
  <c r="E994" i="8"/>
  <c r="F994" i="8" s="1"/>
  <c r="E995" i="8"/>
  <c r="F995" i="8" s="1"/>
  <c r="E996" i="8"/>
  <c r="F996" i="8" s="1"/>
  <c r="E997" i="8"/>
  <c r="F997" i="8" s="1"/>
  <c r="E998" i="8"/>
  <c r="F998" i="8" s="1"/>
  <c r="E999" i="8"/>
  <c r="F999" i="8" s="1"/>
  <c r="E1000" i="8"/>
  <c r="F1000" i="8" s="1"/>
  <c r="E1001" i="8"/>
  <c r="E1002" i="8"/>
  <c r="E1003" i="8"/>
  <c r="E1004" i="8"/>
  <c r="E1005" i="8"/>
  <c r="E1006" i="8"/>
  <c r="F1006" i="8" s="1"/>
  <c r="E1007" i="8"/>
  <c r="F1007" i="8" s="1"/>
  <c r="E1008" i="8"/>
  <c r="F1008" i="8" s="1"/>
  <c r="E1009" i="8"/>
  <c r="F1009" i="8" s="1"/>
  <c r="E1010" i="8"/>
  <c r="F1010" i="8" s="1"/>
  <c r="E1011" i="8"/>
  <c r="F1011" i="8" s="1"/>
  <c r="E1012" i="8"/>
  <c r="F1012" i="8" s="1"/>
  <c r="E1013" i="8"/>
  <c r="F1013" i="8" s="1"/>
  <c r="E1014" i="8"/>
  <c r="F1014" i="8" s="1"/>
  <c r="E1015" i="8"/>
  <c r="F1015" i="8" s="1"/>
  <c r="E1016" i="8"/>
  <c r="F1016" i="8" s="1"/>
  <c r="E1017" i="8"/>
  <c r="F1017" i="8" s="1"/>
  <c r="E1018" i="8"/>
  <c r="F1018" i="8" s="1"/>
  <c r="E1019" i="8"/>
  <c r="F1019" i="8" s="1"/>
  <c r="E1020" i="8"/>
  <c r="F1020" i="8" s="1"/>
  <c r="E1021" i="8"/>
  <c r="F1021" i="8" s="1"/>
  <c r="E1022" i="8"/>
  <c r="F1022" i="8" s="1"/>
  <c r="E1023" i="8"/>
  <c r="F1023" i="8" s="1"/>
  <c r="E1024" i="8"/>
  <c r="F1024" i="8" s="1"/>
  <c r="E1025" i="8"/>
  <c r="F1025" i="8" s="1"/>
  <c r="E1026" i="8"/>
  <c r="F1026" i="8" s="1"/>
  <c r="E1027" i="8"/>
  <c r="F1027" i="8" s="1"/>
  <c r="E1028" i="8"/>
  <c r="F1028" i="8" s="1"/>
  <c r="E1029" i="8"/>
  <c r="F1029" i="8" s="1"/>
  <c r="E1030" i="8"/>
  <c r="F1030" i="8" s="1"/>
  <c r="E1031" i="8"/>
  <c r="F1031" i="8" s="1"/>
  <c r="E1032" i="8"/>
  <c r="F1032" i="8" s="1"/>
  <c r="E1033" i="8"/>
  <c r="F1033" i="8" s="1"/>
  <c r="E1034" i="8"/>
  <c r="F1034" i="8" s="1"/>
  <c r="E1035" i="8"/>
  <c r="F1035" i="8" s="1"/>
  <c r="E1036" i="8"/>
  <c r="F1036" i="8" s="1"/>
  <c r="E1037" i="8"/>
  <c r="F1037" i="8" s="1"/>
  <c r="E1038" i="8"/>
  <c r="F1038" i="8" s="1"/>
  <c r="E1039" i="8"/>
  <c r="F1039" i="8" s="1"/>
  <c r="E1040" i="8"/>
  <c r="F1040" i="8" s="1"/>
  <c r="E1041" i="8"/>
  <c r="F1041" i="8" s="1"/>
  <c r="E1042" i="8"/>
  <c r="F1042" i="8" s="1"/>
  <c r="E1043" i="8"/>
  <c r="F1043" i="8" s="1"/>
  <c r="E1044" i="8"/>
  <c r="F1044" i="8" s="1"/>
  <c r="E1045" i="8"/>
  <c r="F1045" i="8" s="1"/>
  <c r="E1046" i="8"/>
  <c r="F1046" i="8" s="1"/>
  <c r="E1047" i="8"/>
  <c r="F1047" i="8" s="1"/>
  <c r="E1048" i="8"/>
  <c r="F1048" i="8" s="1"/>
  <c r="E1049" i="8"/>
  <c r="F1049" i="8" s="1"/>
  <c r="E1050" i="8"/>
  <c r="F1050" i="8" s="1"/>
  <c r="E1051" i="8"/>
  <c r="F1051" i="8" s="1"/>
  <c r="E1052" i="8"/>
  <c r="F1052" i="8" s="1"/>
  <c r="E1053" i="8"/>
  <c r="F1053" i="8" s="1"/>
  <c r="E1054" i="8"/>
  <c r="F1054" i="8" s="1"/>
  <c r="E1055" i="8"/>
  <c r="F1055" i="8" s="1"/>
  <c r="E1056" i="8"/>
  <c r="F1056" i="8" s="1"/>
  <c r="E1057" i="8"/>
  <c r="F1057" i="8" s="1"/>
  <c r="E1058" i="8"/>
  <c r="F1058" i="8" s="1"/>
  <c r="E1059" i="8"/>
  <c r="F1059" i="8" s="1"/>
  <c r="E1060" i="8"/>
  <c r="F1060" i="8" s="1"/>
  <c r="E1061" i="8"/>
  <c r="E1062" i="8"/>
  <c r="F1062" i="8" s="1"/>
  <c r="E1063" i="8"/>
  <c r="F1063" i="8" s="1"/>
  <c r="E1064" i="8"/>
  <c r="F1064" i="8" s="1"/>
  <c r="E1065" i="8"/>
  <c r="F1065" i="8" s="1"/>
  <c r="E1066" i="8"/>
  <c r="F1066" i="8" s="1"/>
  <c r="E1067" i="8"/>
  <c r="F1067" i="8" s="1"/>
  <c r="E1068" i="8"/>
  <c r="F1068" i="8" s="1"/>
  <c r="E1069" i="8"/>
  <c r="F1069" i="8" s="1"/>
  <c r="E1070" i="8"/>
  <c r="F1070" i="8" s="1"/>
  <c r="E1071" i="8"/>
  <c r="F1071" i="8" s="1"/>
  <c r="E1072" i="8"/>
  <c r="F1072" i="8" s="1"/>
  <c r="E1073" i="8"/>
  <c r="F1073" i="8" s="1"/>
  <c r="E1074" i="8"/>
  <c r="F1074" i="8" s="1"/>
  <c r="E1075" i="8"/>
  <c r="F1075" i="8" s="1"/>
  <c r="E1076" i="8"/>
  <c r="F1076" i="8" s="1"/>
  <c r="E1077" i="8"/>
  <c r="F1077" i="8" s="1"/>
  <c r="E1078" i="8"/>
  <c r="F1078" i="8" s="1"/>
  <c r="E1079" i="8"/>
  <c r="F1079" i="8" s="1"/>
  <c r="E1080" i="8"/>
  <c r="F1080" i="8" s="1"/>
  <c r="E1081" i="8"/>
  <c r="E1082" i="8"/>
  <c r="F1082" i="8" s="1"/>
  <c r="E1083" i="8"/>
  <c r="E1084" i="8"/>
  <c r="F1084" i="8" s="1"/>
  <c r="E1085" i="8"/>
  <c r="F1085" i="8" s="1"/>
  <c r="E1086" i="8"/>
  <c r="F1086" i="8" s="1"/>
  <c r="E1087" i="8"/>
  <c r="F1087" i="8" s="1"/>
  <c r="E1088" i="8"/>
  <c r="F1088" i="8" s="1"/>
  <c r="E1089" i="8"/>
  <c r="F1089" i="8" s="1"/>
  <c r="E1090" i="8"/>
  <c r="F1090" i="8" s="1"/>
  <c r="E1091" i="8"/>
  <c r="F1091" i="8" s="1"/>
  <c r="E1092" i="8"/>
  <c r="F1092" i="8" s="1"/>
  <c r="E1093" i="8"/>
  <c r="F1093" i="8" s="1"/>
  <c r="E1094" i="8"/>
  <c r="F1094" i="8" s="1"/>
  <c r="E1095" i="8"/>
  <c r="F1095" i="8" s="1"/>
  <c r="E1096" i="8"/>
  <c r="F1096" i="8" s="1"/>
  <c r="E1097" i="8"/>
  <c r="F1097" i="8" s="1"/>
  <c r="E1098" i="8"/>
  <c r="F1098" i="8" s="1"/>
  <c r="E1099" i="8"/>
  <c r="F1099" i="8" s="1"/>
  <c r="E1100" i="8"/>
  <c r="F1100" i="8" s="1"/>
  <c r="E1101" i="8"/>
  <c r="F1101" i="8" s="1"/>
  <c r="E1102" i="8"/>
  <c r="F1102" i="8" s="1"/>
  <c r="E1103" i="8"/>
  <c r="F1103" i="8" s="1"/>
  <c r="E1104" i="8"/>
  <c r="F1104" i="8" s="1"/>
  <c r="E1105" i="8"/>
  <c r="F1105" i="8" s="1"/>
  <c r="E1106" i="8"/>
  <c r="F1106" i="8" s="1"/>
  <c r="E1107" i="8"/>
  <c r="F1107" i="8" s="1"/>
  <c r="E1108" i="8"/>
  <c r="F1108" i="8" s="1"/>
  <c r="E1109" i="8"/>
  <c r="F1109" i="8" s="1"/>
  <c r="E1110" i="8"/>
  <c r="F1110" i="8" s="1"/>
  <c r="E1111" i="8"/>
  <c r="F1111" i="8" s="1"/>
  <c r="E1112" i="8"/>
  <c r="F1112" i="8" s="1"/>
  <c r="E1113" i="8"/>
  <c r="F1113" i="8" s="1"/>
  <c r="E1114" i="8"/>
  <c r="F1114" i="8" s="1"/>
  <c r="E1115" i="8"/>
  <c r="F1115" i="8" s="1"/>
  <c r="E1116" i="8"/>
  <c r="F1116" i="8" s="1"/>
  <c r="E1117" i="8"/>
  <c r="F1117" i="8" s="1"/>
  <c r="E1118" i="8"/>
  <c r="F1118" i="8" s="1"/>
  <c r="E1119" i="8"/>
  <c r="F1119" i="8" s="1"/>
  <c r="E1120" i="8"/>
  <c r="F1120" i="8" s="1"/>
  <c r="E1121" i="8"/>
  <c r="F1121" i="8" s="1"/>
  <c r="E1122" i="8"/>
  <c r="F1122" i="8" s="1"/>
  <c r="E1123" i="8"/>
  <c r="F1123" i="8" s="1"/>
  <c r="E1124" i="8"/>
  <c r="F1124" i="8" s="1"/>
  <c r="E1125" i="8"/>
  <c r="F1125" i="8" s="1"/>
  <c r="E1126" i="8"/>
  <c r="F1126" i="8" s="1"/>
  <c r="E1127" i="8"/>
  <c r="F1127" i="8" s="1"/>
  <c r="E1128" i="8"/>
  <c r="F1128" i="8" s="1"/>
  <c r="E1129" i="8"/>
  <c r="F1129" i="8" s="1"/>
  <c r="E1130" i="8"/>
  <c r="F1130" i="8" s="1"/>
  <c r="E1131" i="8"/>
  <c r="F1131" i="8" s="1"/>
  <c r="E1132" i="8"/>
  <c r="F1132" i="8" s="1"/>
  <c r="E1133" i="8"/>
  <c r="F1133" i="8" s="1"/>
  <c r="E1134" i="8"/>
  <c r="F1134" i="8" s="1"/>
  <c r="E1135" i="8"/>
  <c r="F1135" i="8" s="1"/>
  <c r="E1136" i="8"/>
  <c r="F1136" i="8" s="1"/>
  <c r="E1137" i="8"/>
  <c r="F1137" i="8" s="1"/>
  <c r="E1138" i="8"/>
  <c r="F1138" i="8" s="1"/>
  <c r="E1139" i="8"/>
  <c r="F1139" i="8" s="1"/>
  <c r="E1140" i="8"/>
  <c r="F1140" i="8" s="1"/>
  <c r="E1141" i="8"/>
  <c r="F1141" i="8" s="1"/>
  <c r="E1142" i="8"/>
  <c r="F1142" i="8" s="1"/>
  <c r="E1143" i="8"/>
  <c r="F1143" i="8" s="1"/>
  <c r="E1144" i="8"/>
  <c r="F1144" i="8" s="1"/>
  <c r="E1145" i="8"/>
  <c r="F1145" i="8" s="1"/>
  <c r="E1146" i="8"/>
  <c r="F1146" i="8" s="1"/>
  <c r="E1147" i="8"/>
  <c r="F1147" i="8" s="1"/>
  <c r="E1148" i="8"/>
  <c r="F1148" i="8" s="1"/>
  <c r="E1149" i="8"/>
  <c r="F1149" i="8" s="1"/>
  <c r="E1150" i="8"/>
  <c r="F1150" i="8" s="1"/>
  <c r="E1151" i="8"/>
  <c r="F1151" i="8" s="1"/>
  <c r="E1152" i="8"/>
  <c r="F1152" i="8" s="1"/>
  <c r="E1153" i="8"/>
  <c r="F1153" i="8" s="1"/>
  <c r="E1154" i="8"/>
  <c r="F1154" i="8" s="1"/>
  <c r="E1155" i="8"/>
  <c r="F1155" i="8" s="1"/>
  <c r="E1156" i="8"/>
  <c r="F1156" i="8" s="1"/>
  <c r="E1157" i="8"/>
  <c r="F1157" i="8" s="1"/>
  <c r="E1158" i="8"/>
  <c r="F1158" i="8" s="1"/>
  <c r="E1159" i="8"/>
  <c r="F1159" i="8" s="1"/>
  <c r="E1160" i="8"/>
  <c r="F1160" i="8" s="1"/>
  <c r="E1161" i="8"/>
  <c r="F1161" i="8" s="1"/>
  <c r="E1162" i="8"/>
  <c r="F1162" i="8" s="1"/>
  <c r="E1163" i="8"/>
  <c r="F1163" i="8" s="1"/>
  <c r="E1164" i="8"/>
  <c r="F1164" i="8" s="1"/>
  <c r="E1165" i="8"/>
  <c r="F1165" i="8" s="1"/>
  <c r="E1166" i="8"/>
  <c r="F1166" i="8" s="1"/>
  <c r="E1167" i="8"/>
  <c r="F1167" i="8" s="1"/>
  <c r="E1168" i="8"/>
  <c r="F1168" i="8" s="1"/>
  <c r="E1169" i="8"/>
  <c r="F1169" i="8" s="1"/>
  <c r="E1170" i="8"/>
  <c r="F1170" i="8" s="1"/>
  <c r="E1171" i="8"/>
  <c r="F1171" i="8" s="1"/>
  <c r="E1172" i="8"/>
  <c r="F1172" i="8" s="1"/>
  <c r="E1173" i="8"/>
  <c r="F1173" i="8" s="1"/>
  <c r="E1174" i="8"/>
  <c r="F1174" i="8" s="1"/>
  <c r="E1175" i="8"/>
  <c r="F1175" i="8" s="1"/>
  <c r="E1176" i="8"/>
  <c r="F1176" i="8" s="1"/>
  <c r="E1177" i="8"/>
  <c r="F1177" i="8" s="1"/>
  <c r="E1178" i="8"/>
  <c r="F1178" i="8" s="1"/>
  <c r="E1179" i="8"/>
  <c r="F1179" i="8" s="1"/>
  <c r="E1180" i="8"/>
  <c r="F1180" i="8" s="1"/>
  <c r="E1181" i="8"/>
  <c r="F1181" i="8" s="1"/>
  <c r="E1182" i="8"/>
  <c r="F1182" i="8" s="1"/>
  <c r="E1183" i="8"/>
  <c r="F1183" i="8" s="1"/>
  <c r="E1184" i="8"/>
  <c r="F1184" i="8" s="1"/>
  <c r="E1185" i="8"/>
  <c r="F1185" i="8" s="1"/>
  <c r="E1186" i="8"/>
  <c r="F1186" i="8" s="1"/>
  <c r="E1187" i="8"/>
  <c r="F1187" i="8" s="1"/>
  <c r="E1188" i="8"/>
  <c r="F1188" i="8" s="1"/>
  <c r="E1189" i="8"/>
  <c r="F1189" i="8" s="1"/>
  <c r="E1190" i="8"/>
  <c r="F1190" i="8" s="1"/>
  <c r="E1191" i="8"/>
  <c r="F1191" i="8" s="1"/>
  <c r="E1192" i="8"/>
  <c r="F1192" i="8" s="1"/>
  <c r="E1193" i="8"/>
  <c r="F1193" i="8" s="1"/>
  <c r="E1194" i="8"/>
  <c r="F1194" i="8" s="1"/>
  <c r="E1195" i="8"/>
  <c r="F1195" i="8" s="1"/>
  <c r="E1196" i="8"/>
  <c r="F1196" i="8" s="1"/>
  <c r="E1197" i="8"/>
  <c r="F1197" i="8" s="1"/>
  <c r="E1198" i="8"/>
  <c r="F1198" i="8" s="1"/>
  <c r="E1199" i="8"/>
  <c r="F1199" i="8" s="1"/>
  <c r="E1200" i="8"/>
  <c r="F1200" i="8" s="1"/>
  <c r="E1201" i="8"/>
  <c r="E1202" i="8"/>
  <c r="F1202" i="8" s="1"/>
  <c r="E1203" i="8"/>
  <c r="F1203" i="8" s="1"/>
  <c r="E1204" i="8"/>
  <c r="F1204" i="8" s="1"/>
  <c r="E1205" i="8"/>
  <c r="F1205" i="8" s="1"/>
  <c r="E1206" i="8"/>
  <c r="F1206" i="8" s="1"/>
  <c r="E1207" i="8"/>
  <c r="F1207" i="8" s="1"/>
  <c r="E1208" i="8"/>
  <c r="F1208" i="8" s="1"/>
  <c r="E1209" i="8"/>
  <c r="F1209" i="8" s="1"/>
  <c r="E1210" i="8"/>
  <c r="F1210" i="8" s="1"/>
  <c r="E1211" i="8"/>
  <c r="F1211" i="8" s="1"/>
  <c r="E1212" i="8"/>
  <c r="F1212" i="8" s="1"/>
  <c r="E1213" i="8"/>
  <c r="F1213" i="8" s="1"/>
  <c r="E1214" i="8"/>
  <c r="F1214" i="8" s="1"/>
  <c r="E1215" i="8"/>
  <c r="F1215" i="8" s="1"/>
  <c r="E1216" i="8"/>
  <c r="F1216" i="8" s="1"/>
  <c r="E1217" i="8"/>
  <c r="F1217" i="8" s="1"/>
  <c r="E1218" i="8"/>
  <c r="F1218" i="8" s="1"/>
  <c r="E1219" i="8"/>
  <c r="F1219" i="8" s="1"/>
  <c r="E1220" i="8"/>
  <c r="F1220" i="8" s="1"/>
  <c r="E1221" i="8"/>
  <c r="E1222" i="8"/>
  <c r="F1222" i="8" s="1"/>
  <c r="E1223" i="8"/>
  <c r="F1223" i="8" s="1"/>
  <c r="E1224" i="8"/>
  <c r="F1224" i="8" s="1"/>
  <c r="E1225" i="8"/>
  <c r="F1225" i="8" s="1"/>
  <c r="E1226" i="8"/>
  <c r="F1226" i="8" s="1"/>
  <c r="E1227" i="8"/>
  <c r="F1227" i="8" s="1"/>
  <c r="E1228" i="8"/>
  <c r="F1228" i="8" s="1"/>
  <c r="E1229" i="8"/>
  <c r="F1229" i="8" s="1"/>
  <c r="E1230" i="8"/>
  <c r="F1230" i="8" s="1"/>
  <c r="E1231" i="8"/>
  <c r="F1231" i="8" s="1"/>
  <c r="E1232" i="8"/>
  <c r="F1232" i="8" s="1"/>
  <c r="E1233" i="8"/>
  <c r="F1233" i="8" s="1"/>
  <c r="E1234" i="8"/>
  <c r="F1234" i="8" s="1"/>
  <c r="E1235" i="8"/>
  <c r="F1235" i="8" s="1"/>
  <c r="E1236" i="8"/>
  <c r="F1236" i="8" s="1"/>
  <c r="E1237" i="8"/>
  <c r="F1237" i="8" s="1"/>
  <c r="E1238" i="8"/>
  <c r="F1238" i="8" s="1"/>
  <c r="E1239" i="8"/>
  <c r="F1239" i="8" s="1"/>
  <c r="E1240" i="8"/>
  <c r="F1240" i="8" s="1"/>
  <c r="E1241" i="8"/>
  <c r="E1242" i="8"/>
  <c r="F1242" i="8" s="1"/>
  <c r="E1243" i="8"/>
  <c r="F1243" i="8" s="1"/>
  <c r="E1244" i="8"/>
  <c r="F1244" i="8" s="1"/>
  <c r="E1245" i="8"/>
  <c r="F1245" i="8" s="1"/>
  <c r="E1246" i="8"/>
  <c r="F1246" i="8" s="1"/>
  <c r="E1247" i="8"/>
  <c r="F1247" i="8" s="1"/>
  <c r="E1248" i="8"/>
  <c r="F1248" i="8" s="1"/>
  <c r="E1249" i="8"/>
  <c r="F1249" i="8" s="1"/>
  <c r="E1250" i="8"/>
  <c r="F1250" i="8" s="1"/>
  <c r="E1251" i="8"/>
  <c r="F1251" i="8" s="1"/>
  <c r="E1252" i="8"/>
  <c r="F1252" i="8" s="1"/>
  <c r="E1253" i="8"/>
  <c r="F1253" i="8" s="1"/>
  <c r="E1254" i="8"/>
  <c r="F1254" i="8" s="1"/>
  <c r="E1255" i="8"/>
  <c r="F1255" i="8" s="1"/>
  <c r="E1256" i="8"/>
  <c r="F1256" i="8" s="1"/>
  <c r="E1257" i="8"/>
  <c r="F1257" i="8" s="1"/>
  <c r="E1258" i="8"/>
  <c r="F1258" i="8" s="1"/>
  <c r="E1259" i="8"/>
  <c r="F1259" i="8" s="1"/>
  <c r="E1260" i="8"/>
  <c r="F1260" i="8" s="1"/>
  <c r="E1261" i="8"/>
  <c r="F1261" i="8" s="1"/>
  <c r="E1262" i="8"/>
  <c r="F1262" i="8" s="1"/>
  <c r="E1263" i="8"/>
  <c r="F1263" i="8" s="1"/>
  <c r="E1264" i="8"/>
  <c r="F1264" i="8" s="1"/>
  <c r="E1265" i="8"/>
  <c r="F1265" i="8" s="1"/>
  <c r="E1266" i="8"/>
  <c r="F1266" i="8" s="1"/>
  <c r="E1267" i="8"/>
  <c r="F1267" i="8" s="1"/>
  <c r="E1268" i="8"/>
  <c r="F1268" i="8" s="1"/>
  <c r="E1269" i="8"/>
  <c r="F1269" i="8" s="1"/>
  <c r="E1270" i="8"/>
  <c r="F1270" i="8" s="1"/>
  <c r="E1271" i="8"/>
  <c r="F1271" i="8" s="1"/>
  <c r="E1272" i="8"/>
  <c r="F1272" i="8" s="1"/>
  <c r="E1273" i="8"/>
  <c r="F1273" i="8" s="1"/>
  <c r="E1274" i="8"/>
  <c r="F1274" i="8" s="1"/>
  <c r="E1275" i="8"/>
  <c r="F1275" i="8" s="1"/>
  <c r="E1276" i="8"/>
  <c r="F1276" i="8" s="1"/>
  <c r="E1277" i="8"/>
  <c r="F1277" i="8" s="1"/>
  <c r="E1278" i="8"/>
  <c r="F1278" i="8" s="1"/>
  <c r="E1279" i="8"/>
  <c r="F1279" i="8" s="1"/>
  <c r="E1280" i="8"/>
  <c r="F1280" i="8" s="1"/>
  <c r="E1281" i="8"/>
  <c r="F1281" i="8" s="1"/>
  <c r="E1282" i="8"/>
  <c r="F1282" i="8" s="1"/>
  <c r="E1283" i="8"/>
  <c r="F1283" i="8" s="1"/>
  <c r="E1284" i="8"/>
  <c r="F1284" i="8" s="1"/>
  <c r="E1285" i="8"/>
  <c r="F1285" i="8" s="1"/>
  <c r="E1286" i="8"/>
  <c r="F1286" i="8" s="1"/>
  <c r="E1287" i="8"/>
  <c r="F1287" i="8" s="1"/>
  <c r="E1288" i="8"/>
  <c r="F1288" i="8" s="1"/>
  <c r="E1289" i="8"/>
  <c r="F1289" i="8" s="1"/>
  <c r="E1290" i="8"/>
  <c r="F1290" i="8" s="1"/>
  <c r="E1291" i="8"/>
  <c r="F1291" i="8" s="1"/>
  <c r="E1292" i="8"/>
  <c r="F1292" i="8" s="1"/>
  <c r="E1293" i="8"/>
  <c r="F1293" i="8" s="1"/>
  <c r="E1294" i="8"/>
  <c r="F1294" i="8" s="1"/>
  <c r="E1295" i="8"/>
  <c r="F1295" i="8" s="1"/>
  <c r="E1296" i="8"/>
  <c r="F1296" i="8" s="1"/>
  <c r="E1297" i="8"/>
  <c r="F1297" i="8" s="1"/>
  <c r="E1298" i="8"/>
  <c r="F1298" i="8" s="1"/>
  <c r="E1299" i="8"/>
  <c r="F1299" i="8" s="1"/>
  <c r="E1300" i="8"/>
  <c r="F1300" i="8" s="1"/>
  <c r="E1301" i="8"/>
  <c r="F1301" i="8" s="1"/>
  <c r="E1302" i="8"/>
  <c r="F1302" i="8" s="1"/>
  <c r="E1303" i="8"/>
  <c r="F1303" i="8" s="1"/>
  <c r="E1304" i="8"/>
  <c r="F1304" i="8" s="1"/>
  <c r="E1305" i="8"/>
  <c r="F1305" i="8" s="1"/>
  <c r="E1306" i="8"/>
  <c r="F1306" i="8" s="1"/>
  <c r="E1307" i="8"/>
  <c r="F1307" i="8" s="1"/>
  <c r="E1308" i="8"/>
  <c r="F1308" i="8" s="1"/>
  <c r="E1309" i="8"/>
  <c r="F1309" i="8" s="1"/>
  <c r="E1310" i="8"/>
  <c r="F1310" i="8" s="1"/>
  <c r="E1311" i="8"/>
  <c r="F1311" i="8" s="1"/>
  <c r="E1312" i="8"/>
  <c r="F1312" i="8" s="1"/>
  <c r="E1313" i="8"/>
  <c r="F1313" i="8" s="1"/>
  <c r="E1314" i="8"/>
  <c r="F1314" i="8" s="1"/>
  <c r="E1315" i="8"/>
  <c r="F1315" i="8" s="1"/>
  <c r="E1316" i="8"/>
  <c r="F1316" i="8" s="1"/>
  <c r="E1317" i="8"/>
  <c r="F1317" i="8" s="1"/>
  <c r="E1318" i="8"/>
  <c r="F1318" i="8" s="1"/>
  <c r="E1319" i="8"/>
  <c r="F1319" i="8" s="1"/>
  <c r="E1320" i="8"/>
  <c r="F1320" i="8" s="1"/>
  <c r="E1321" i="8"/>
  <c r="F1321" i="8" s="1"/>
  <c r="E1322" i="8"/>
  <c r="F1322" i="8" s="1"/>
  <c r="E1323" i="8"/>
  <c r="F1323" i="8" s="1"/>
  <c r="E1324" i="8"/>
  <c r="F1324" i="8" s="1"/>
  <c r="E1325" i="8"/>
  <c r="F1325" i="8" s="1"/>
  <c r="E1326" i="8"/>
  <c r="F1326" i="8" s="1"/>
  <c r="E1327" i="8"/>
  <c r="F1327" i="8" s="1"/>
  <c r="E1328" i="8"/>
  <c r="F1328" i="8" s="1"/>
  <c r="E1329" i="8"/>
  <c r="F1329" i="8" s="1"/>
  <c r="E1330" i="8"/>
  <c r="F1330" i="8" s="1"/>
  <c r="E1331" i="8"/>
  <c r="F1331" i="8" s="1"/>
  <c r="E1332" i="8"/>
  <c r="F1332" i="8" s="1"/>
  <c r="E1333" i="8"/>
  <c r="F1333" i="8" s="1"/>
  <c r="E1334" i="8"/>
  <c r="F1334" i="8" s="1"/>
  <c r="E1335" i="8"/>
  <c r="F1335" i="8" s="1"/>
  <c r="E1336" i="8"/>
  <c r="F1336" i="8" s="1"/>
  <c r="E1337" i="8"/>
  <c r="F1337" i="8" s="1"/>
  <c r="E1338" i="8"/>
  <c r="F1338" i="8" s="1"/>
  <c r="E1339" i="8"/>
  <c r="F1339" i="8" s="1"/>
  <c r="E1340" i="8"/>
  <c r="F1340" i="8" s="1"/>
  <c r="E1341" i="8"/>
  <c r="F1341" i="8" s="1"/>
  <c r="E1342" i="8"/>
  <c r="F1342" i="8" s="1"/>
  <c r="E1343" i="8"/>
  <c r="F1343" i="8" s="1"/>
  <c r="E1344" i="8"/>
  <c r="F1344" i="8" s="1"/>
  <c r="E1345" i="8"/>
  <c r="F1345" i="8" s="1"/>
  <c r="E1346" i="8"/>
  <c r="F1346" i="8" s="1"/>
  <c r="E1347" i="8"/>
  <c r="F1347" i="8" s="1"/>
  <c r="E1348" i="8"/>
  <c r="F1348" i="8" s="1"/>
  <c r="E1349" i="8"/>
  <c r="F1349" i="8" s="1"/>
  <c r="E1350" i="8"/>
  <c r="F1350" i="8" s="1"/>
  <c r="E1351" i="8"/>
  <c r="F1351" i="8" s="1"/>
  <c r="E1352" i="8"/>
  <c r="F1352" i="8" s="1"/>
  <c r="E1353" i="8"/>
  <c r="F1353" i="8" s="1"/>
  <c r="E1354" i="8"/>
  <c r="F1354" i="8" s="1"/>
  <c r="E1355" i="8"/>
  <c r="F1355" i="8" s="1"/>
  <c r="E1356" i="8"/>
  <c r="F1356" i="8" s="1"/>
  <c r="E1357" i="8"/>
  <c r="F1357" i="8" s="1"/>
  <c r="E1358" i="8"/>
  <c r="F1358" i="8" s="1"/>
  <c r="E1359" i="8"/>
  <c r="F1359" i="8" s="1"/>
  <c r="E1360" i="8"/>
  <c r="F1360" i="8" s="1"/>
  <c r="E1361" i="8"/>
  <c r="F1361" i="8" s="1"/>
  <c r="E1362" i="8"/>
  <c r="F1362" i="8" s="1"/>
  <c r="E1363" i="8"/>
  <c r="F1363" i="8" s="1"/>
  <c r="E1364" i="8"/>
  <c r="F1364" i="8" s="1"/>
  <c r="E1365" i="8"/>
  <c r="F1365" i="8" s="1"/>
  <c r="E1366" i="8"/>
  <c r="F1366" i="8" s="1"/>
  <c r="E1367" i="8"/>
  <c r="F1367" i="8" s="1"/>
  <c r="E1368" i="8"/>
  <c r="F1368" i="8" s="1"/>
  <c r="E1369" i="8"/>
  <c r="F1369" i="8" s="1"/>
  <c r="E1370" i="8"/>
  <c r="F1370" i="8" s="1"/>
  <c r="E1371" i="8"/>
  <c r="F1371" i="8" s="1"/>
  <c r="E1372" i="8"/>
  <c r="F1372" i="8" s="1"/>
  <c r="E1373" i="8"/>
  <c r="F1373" i="8" s="1"/>
  <c r="E1374" i="8"/>
  <c r="F1374" i="8" s="1"/>
  <c r="E1375" i="8"/>
  <c r="F1375" i="8" s="1"/>
  <c r="E1376" i="8"/>
  <c r="F1376" i="8" s="1"/>
  <c r="E1377" i="8"/>
  <c r="F1377" i="8" s="1"/>
  <c r="E1378" i="8"/>
  <c r="F1378" i="8" s="1"/>
  <c r="E1379" i="8"/>
  <c r="F1379" i="8" s="1"/>
  <c r="E1380" i="8"/>
  <c r="F1380" i="8" s="1"/>
  <c r="E1381" i="8"/>
  <c r="F1381" i="8" s="1"/>
  <c r="E1382" i="8"/>
  <c r="F1382" i="8" s="1"/>
  <c r="E1383" i="8"/>
  <c r="F1383" i="8" s="1"/>
  <c r="E1384" i="8"/>
  <c r="F1384" i="8" s="1"/>
  <c r="E1385" i="8"/>
  <c r="F1385" i="8" s="1"/>
  <c r="E1386" i="8"/>
  <c r="F1386" i="8" s="1"/>
  <c r="E1387" i="8"/>
  <c r="F1387" i="8" s="1"/>
  <c r="E1388" i="8"/>
  <c r="F1388" i="8" s="1"/>
  <c r="E1389" i="8"/>
  <c r="F1389" i="8" s="1"/>
  <c r="E1390" i="8"/>
  <c r="F1390" i="8" s="1"/>
  <c r="E1391" i="8"/>
  <c r="F1391" i="8" s="1"/>
  <c r="E1392" i="8"/>
  <c r="F1392" i="8" s="1"/>
  <c r="E1393" i="8"/>
  <c r="F1393" i="8" s="1"/>
  <c r="E1394" i="8"/>
  <c r="F1394" i="8" s="1"/>
  <c r="E1395" i="8"/>
  <c r="F1395" i="8" s="1"/>
  <c r="E1396" i="8"/>
  <c r="F1396" i="8" s="1"/>
  <c r="E1397" i="8"/>
  <c r="F1397" i="8" s="1"/>
  <c r="E1398" i="8"/>
  <c r="F1398" i="8" s="1"/>
  <c r="E1399" i="8"/>
  <c r="E1400" i="8"/>
  <c r="F1400" i="8" s="1"/>
  <c r="E1401" i="8"/>
  <c r="F1401" i="8" s="1"/>
  <c r="E1402" i="8"/>
  <c r="F1402" i="8" s="1"/>
  <c r="E1403" i="8"/>
  <c r="F1403" i="8" s="1"/>
  <c r="E1404" i="8"/>
  <c r="F1404" i="8" s="1"/>
  <c r="E1405" i="8"/>
  <c r="F1405" i="8" s="1"/>
  <c r="E1406" i="8"/>
  <c r="F1406" i="8" s="1"/>
  <c r="E1407" i="8"/>
  <c r="F1407" i="8" s="1"/>
  <c r="E1408" i="8"/>
  <c r="F1408" i="8" s="1"/>
  <c r="E1409" i="8"/>
  <c r="F1409" i="8" s="1"/>
  <c r="E1410" i="8"/>
  <c r="F1410" i="8" s="1"/>
  <c r="E1411" i="8"/>
  <c r="F1411" i="8" s="1"/>
  <c r="E1412" i="8"/>
  <c r="F1412" i="8" s="1"/>
  <c r="E1413" i="8"/>
  <c r="F1413" i="8" s="1"/>
  <c r="E1414" i="8"/>
  <c r="F1414" i="8" s="1"/>
  <c r="E1415" i="8"/>
  <c r="F1415" i="8" s="1"/>
  <c r="E1416" i="8"/>
  <c r="F1416" i="8" s="1"/>
  <c r="E1417" i="8"/>
  <c r="F1417" i="8" s="1"/>
  <c r="E1418" i="8"/>
  <c r="F1418" i="8" s="1"/>
  <c r="E1419" i="8"/>
  <c r="F1419" i="8" s="1"/>
  <c r="E1420" i="8"/>
  <c r="F1420" i="8" s="1"/>
  <c r="E1421" i="8"/>
  <c r="F1421" i="8" s="1"/>
  <c r="E1422" i="8"/>
  <c r="F1422" i="8" s="1"/>
  <c r="E1423" i="8"/>
  <c r="F1423" i="8" s="1"/>
  <c r="E1424" i="8"/>
  <c r="F1424" i="8" s="1"/>
  <c r="E1425" i="8"/>
  <c r="F1425" i="8" s="1"/>
  <c r="E1426" i="8"/>
  <c r="F1426" i="8" s="1"/>
  <c r="E1427" i="8"/>
  <c r="F1427" i="8" s="1"/>
  <c r="E1428" i="8"/>
  <c r="F1428" i="8" s="1"/>
  <c r="E1429" i="8"/>
  <c r="F1429" i="8" s="1"/>
  <c r="E1430" i="8"/>
  <c r="F1430" i="8" s="1"/>
  <c r="E1431" i="8"/>
  <c r="F1431" i="8" s="1"/>
  <c r="E1432" i="8"/>
  <c r="F1432" i="8" s="1"/>
  <c r="E1433" i="8"/>
  <c r="F1433" i="8" s="1"/>
  <c r="E1434" i="8"/>
  <c r="F1434" i="8" s="1"/>
  <c r="E1435" i="8"/>
  <c r="F1435" i="8" s="1"/>
  <c r="E1436" i="8"/>
  <c r="F1436" i="8" s="1"/>
  <c r="E1437" i="8"/>
  <c r="F1437" i="8" s="1"/>
  <c r="E1438" i="8"/>
  <c r="F1438" i="8" s="1"/>
  <c r="E1439" i="8"/>
  <c r="F1439" i="8" s="1"/>
  <c r="E1440" i="8"/>
  <c r="F1440" i="8" s="1"/>
  <c r="E1441" i="8"/>
  <c r="F1441" i="8" s="1"/>
  <c r="E1442" i="8"/>
  <c r="F1442" i="8" s="1"/>
  <c r="E1443" i="8"/>
  <c r="F1443" i="8" s="1"/>
  <c r="E1444" i="8"/>
  <c r="F1444" i="8" s="1"/>
  <c r="E1445" i="8"/>
  <c r="F1445" i="8" s="1"/>
  <c r="E1446" i="8"/>
  <c r="F1446" i="8" s="1"/>
  <c r="E1447" i="8"/>
  <c r="F1447" i="8" s="1"/>
  <c r="E1448" i="8"/>
  <c r="F1448" i="8" s="1"/>
  <c r="E1449" i="8"/>
  <c r="F1449" i="8" s="1"/>
  <c r="E1450" i="8"/>
  <c r="F1450" i="8" s="1"/>
  <c r="E1451" i="8"/>
  <c r="F1451" i="8" s="1"/>
  <c r="E1452" i="8"/>
  <c r="F1452" i="8" s="1"/>
  <c r="E1453" i="8"/>
  <c r="F1453" i="8" s="1"/>
  <c r="E1454" i="8"/>
  <c r="F1454" i="8" s="1"/>
  <c r="E1455" i="8"/>
  <c r="F1455" i="8" s="1"/>
  <c r="E1456" i="8"/>
  <c r="F1456" i="8" s="1"/>
  <c r="E1457" i="8"/>
  <c r="F1457" i="8" s="1"/>
  <c r="E1458" i="8"/>
  <c r="F1458" i="8" s="1"/>
  <c r="E1459" i="8"/>
  <c r="F1459" i="8" s="1"/>
  <c r="E1460" i="8"/>
  <c r="F1460" i="8" s="1"/>
  <c r="E1461" i="8"/>
  <c r="F1461" i="8" s="1"/>
  <c r="E1462" i="8"/>
  <c r="F1462" i="8" s="1"/>
  <c r="E1463" i="8"/>
  <c r="F1463" i="8" s="1"/>
  <c r="E1464" i="8"/>
  <c r="F1464" i="8" s="1"/>
  <c r="E1465" i="8"/>
  <c r="F1465" i="8" s="1"/>
  <c r="E1466" i="8"/>
  <c r="F1466" i="8" s="1"/>
  <c r="E1467" i="8"/>
  <c r="F1467" i="8" s="1"/>
  <c r="E1468" i="8"/>
  <c r="F1468" i="8" s="1"/>
  <c r="E1469" i="8"/>
  <c r="F1469" i="8" s="1"/>
  <c r="E1470" i="8"/>
  <c r="F1470" i="8" s="1"/>
  <c r="E1471" i="8"/>
  <c r="F1471" i="8" s="1"/>
  <c r="E1472" i="8"/>
  <c r="F1472" i="8" s="1"/>
  <c r="E1473" i="8"/>
  <c r="F1473" i="8" s="1"/>
  <c r="E1474" i="8"/>
  <c r="F1474" i="8" s="1"/>
  <c r="E1475" i="8"/>
  <c r="F1475" i="8" s="1"/>
  <c r="E1476" i="8"/>
  <c r="F1476" i="8" s="1"/>
  <c r="E1477" i="8"/>
  <c r="F1477" i="8" s="1"/>
  <c r="E1478" i="8"/>
  <c r="F1478" i="8" s="1"/>
  <c r="E1479" i="8"/>
  <c r="F1479" i="8" s="1"/>
  <c r="E1480" i="8"/>
  <c r="F1480" i="8" s="1"/>
  <c r="E1481" i="8"/>
  <c r="F1481" i="8" s="1"/>
  <c r="E1482" i="8"/>
  <c r="F1482" i="8" s="1"/>
  <c r="E1483" i="8"/>
  <c r="F1483" i="8" s="1"/>
  <c r="E1484" i="8"/>
  <c r="F1484" i="8" s="1"/>
  <c r="E1485" i="8"/>
  <c r="F1485" i="8" s="1"/>
  <c r="E1486" i="8"/>
  <c r="F1486" i="8" s="1"/>
  <c r="E1487" i="8"/>
  <c r="F1487" i="8" s="1"/>
  <c r="E1488" i="8"/>
  <c r="F1488" i="8" s="1"/>
  <c r="E1489" i="8"/>
  <c r="F1489" i="8" s="1"/>
  <c r="E1490" i="8"/>
  <c r="F1490" i="8" s="1"/>
  <c r="E1491" i="8"/>
  <c r="F1491" i="8" s="1"/>
  <c r="E1492" i="8"/>
  <c r="F1492" i="8" s="1"/>
  <c r="E1493" i="8"/>
  <c r="F1493" i="8" s="1"/>
  <c r="E1494" i="8"/>
  <c r="F1494" i="8" s="1"/>
  <c r="E1495" i="8"/>
  <c r="F1495" i="8" s="1"/>
  <c r="E1496" i="8"/>
  <c r="F1496" i="8" s="1"/>
  <c r="E1497" i="8"/>
  <c r="F1497" i="8" s="1"/>
  <c r="E1498" i="8"/>
  <c r="F1498" i="8" s="1"/>
  <c r="E1499" i="8"/>
  <c r="F1499" i="8" s="1"/>
  <c r="E1500" i="8"/>
  <c r="F1500" i="8" s="1"/>
  <c r="E1501" i="8"/>
  <c r="F1501" i="8" s="1"/>
  <c r="E1502" i="8"/>
  <c r="F1502" i="8" s="1"/>
  <c r="E1503" i="8"/>
  <c r="F1503" i="8" s="1"/>
  <c r="E1504" i="8"/>
  <c r="F1504" i="8" s="1"/>
  <c r="E1505" i="8"/>
  <c r="F1505" i="8" s="1"/>
  <c r="E1506" i="8"/>
  <c r="F1506" i="8" s="1"/>
  <c r="E1507" i="8"/>
  <c r="F1507" i="8" s="1"/>
  <c r="E1508" i="8"/>
  <c r="F1508" i="8" s="1"/>
  <c r="E1509" i="8"/>
  <c r="F1509" i="8" s="1"/>
  <c r="E1510" i="8"/>
  <c r="F1510" i="8" s="1"/>
  <c r="E1511" i="8"/>
  <c r="F1511" i="8" s="1"/>
  <c r="E1512" i="8"/>
  <c r="F1512" i="8" s="1"/>
  <c r="E1513" i="8"/>
  <c r="F1513" i="8" s="1"/>
  <c r="E1514" i="8"/>
  <c r="F1514" i="8" s="1"/>
  <c r="E1515" i="8"/>
  <c r="F1515" i="8" s="1"/>
  <c r="E1516" i="8"/>
  <c r="F1516" i="8" s="1"/>
  <c r="E1517" i="8"/>
  <c r="F1517" i="8" s="1"/>
  <c r="E1518" i="8"/>
  <c r="F1518" i="8" s="1"/>
  <c r="E1519" i="8"/>
  <c r="F1519" i="8" s="1"/>
  <c r="E1520" i="8"/>
  <c r="F1520" i="8" s="1"/>
  <c r="E1521" i="8"/>
  <c r="F1521" i="8" s="1"/>
  <c r="E1522" i="8"/>
  <c r="F1522" i="8" s="1"/>
  <c r="E1523" i="8"/>
  <c r="F1523" i="8" s="1"/>
  <c r="E1524" i="8"/>
  <c r="F1524" i="8" s="1"/>
  <c r="E1525" i="8"/>
  <c r="F1525" i="8" s="1"/>
  <c r="E1526" i="8"/>
  <c r="F1526" i="8" s="1"/>
  <c r="E1527" i="8"/>
  <c r="F1527" i="8" s="1"/>
  <c r="E1528" i="8"/>
  <c r="F1528" i="8" s="1"/>
  <c r="E1529" i="8"/>
  <c r="F1529" i="8" s="1"/>
  <c r="E1530" i="8"/>
  <c r="F1530" i="8" s="1"/>
  <c r="E1531" i="8"/>
  <c r="F1531" i="8" s="1"/>
  <c r="E1532" i="8"/>
  <c r="F1532" i="8" s="1"/>
  <c r="E1533" i="8"/>
  <c r="F1533" i="8" s="1"/>
  <c r="E1534" i="8"/>
  <c r="F1534" i="8" s="1"/>
  <c r="E1535" i="8"/>
  <c r="F1535" i="8" s="1"/>
  <c r="E1536" i="8"/>
  <c r="F1536" i="8" s="1"/>
  <c r="E1537" i="8"/>
  <c r="F1537" i="8" s="1"/>
  <c r="E1538" i="8"/>
  <c r="F1538" i="8" s="1"/>
  <c r="E1539" i="8"/>
  <c r="F1539" i="8" s="1"/>
  <c r="E1540" i="8"/>
  <c r="F1540" i="8" s="1"/>
  <c r="E1541" i="8"/>
  <c r="F1541" i="8" s="1"/>
  <c r="E1542" i="8"/>
  <c r="F1542" i="8" s="1"/>
  <c r="E1543" i="8"/>
  <c r="F1543" i="8" s="1"/>
  <c r="E1544" i="8"/>
  <c r="F1544" i="8" s="1"/>
  <c r="E1545" i="8"/>
  <c r="F1545" i="8" s="1"/>
  <c r="E1546" i="8"/>
  <c r="F1546" i="8" s="1"/>
  <c r="E1547" i="8"/>
  <c r="F1547" i="8" s="1"/>
  <c r="E1548" i="8"/>
  <c r="F1548" i="8" s="1"/>
  <c r="E1549" i="8"/>
  <c r="F1549" i="8" s="1"/>
  <c r="E1550" i="8"/>
  <c r="F1550" i="8" s="1"/>
  <c r="E1551" i="8"/>
  <c r="F1551" i="8" s="1"/>
  <c r="E1552" i="8"/>
  <c r="F1552" i="8" s="1"/>
  <c r="E1553" i="8"/>
  <c r="F1553" i="8" s="1"/>
  <c r="E1554" i="8"/>
  <c r="F1554" i="8" s="1"/>
  <c r="E1555" i="8"/>
  <c r="F1555" i="8" s="1"/>
  <c r="E1556" i="8"/>
  <c r="F1556" i="8" s="1"/>
  <c r="E1557" i="8"/>
  <c r="F1557" i="8" s="1"/>
  <c r="E1558" i="8"/>
  <c r="F1558" i="8" s="1"/>
  <c r="E1559" i="8"/>
  <c r="F1559" i="8" s="1"/>
  <c r="E1560" i="8"/>
  <c r="E1561" i="8"/>
  <c r="F1561" i="8" s="1"/>
  <c r="E1562" i="8"/>
  <c r="F1562" i="8" s="1"/>
  <c r="E1563" i="8"/>
  <c r="F1563" i="8" s="1"/>
  <c r="E1564" i="8"/>
  <c r="F1564" i="8" s="1"/>
  <c r="E1565" i="8"/>
  <c r="F1565" i="8" s="1"/>
  <c r="E1566" i="8"/>
  <c r="F1566" i="8" s="1"/>
  <c r="E1567" i="8"/>
  <c r="F1567" i="8" s="1"/>
  <c r="E1568" i="8"/>
  <c r="F1568" i="8" s="1"/>
  <c r="E1569" i="8"/>
  <c r="F1569" i="8" s="1"/>
  <c r="E1570" i="8"/>
  <c r="F1570" i="8" s="1"/>
  <c r="E1571" i="8"/>
  <c r="F1571" i="8" s="1"/>
  <c r="E1572" i="8"/>
  <c r="F1572" i="8" s="1"/>
  <c r="E1573" i="8"/>
  <c r="F1573" i="8" s="1"/>
  <c r="E1574" i="8"/>
  <c r="F1574" i="8" s="1"/>
  <c r="E1575" i="8"/>
  <c r="F1575" i="8" s="1"/>
  <c r="E1576" i="8"/>
  <c r="F1576" i="8" s="1"/>
  <c r="E1577" i="8"/>
  <c r="F1577" i="8" s="1"/>
  <c r="E1578" i="8"/>
  <c r="F1578" i="8" s="1"/>
  <c r="E1579" i="8"/>
  <c r="E1580" i="8"/>
  <c r="F1580" i="8" s="1"/>
  <c r="E1581" i="8"/>
  <c r="F1581" i="8" s="1"/>
  <c r="E1582" i="8"/>
  <c r="F1582" i="8" s="1"/>
  <c r="E1583" i="8"/>
  <c r="F1583" i="8" s="1"/>
  <c r="E1584" i="8"/>
  <c r="F1584" i="8" s="1"/>
  <c r="E1585" i="8"/>
  <c r="F1585" i="8" s="1"/>
  <c r="E1586" i="8"/>
  <c r="F1586" i="8" s="1"/>
  <c r="E1587" i="8"/>
  <c r="F1587" i="8" s="1"/>
  <c r="E1588" i="8"/>
  <c r="F1588" i="8" s="1"/>
  <c r="E1589" i="8"/>
  <c r="F1589" i="8" s="1"/>
  <c r="E1590" i="8"/>
  <c r="F1590" i="8" s="1"/>
  <c r="E1591" i="8"/>
  <c r="F1591" i="8" s="1"/>
  <c r="E1592" i="8"/>
  <c r="F1592" i="8" s="1"/>
  <c r="E1593" i="8"/>
  <c r="F1593" i="8" s="1"/>
  <c r="E1594" i="8"/>
  <c r="F1594" i="8" s="1"/>
  <c r="E1595" i="8"/>
  <c r="F1595" i="8" s="1"/>
  <c r="E1596" i="8"/>
  <c r="F1596" i="8" s="1"/>
  <c r="E1597" i="8"/>
  <c r="F1597" i="8" s="1"/>
  <c r="E1598" i="8"/>
  <c r="F1598" i="8" s="1"/>
  <c r="E1599" i="8"/>
  <c r="F1599" i="8" s="1"/>
  <c r="E1600" i="8"/>
  <c r="F1600" i="8" s="1"/>
  <c r="E1601" i="8"/>
  <c r="F1601" i="8" s="1"/>
</calcChain>
</file>

<file path=xl/sharedStrings.xml><?xml version="1.0" encoding="utf-8"?>
<sst xmlns="http://schemas.openxmlformats.org/spreadsheetml/2006/main" count="146" uniqueCount="90">
  <si>
    <t>Parcela</t>
  </si>
  <si>
    <t>Estimadores</t>
  </si>
  <si>
    <t>Estimativas</t>
  </si>
  <si>
    <t>Unidade</t>
  </si>
  <si>
    <t>Valor</t>
  </si>
  <si>
    <t>Item</t>
  </si>
  <si>
    <t>ha</t>
  </si>
  <si>
    <t>Erro Padrão da Média Amostral</t>
  </si>
  <si>
    <t>Erro de Amostragem Absoluto</t>
  </si>
  <si>
    <t>Erro de Amostragem Relativo</t>
  </si>
  <si>
    <t>IC para Média (Limite Inferior)</t>
  </si>
  <si>
    <t>IC para Média (Limite Superior)</t>
  </si>
  <si>
    <t>Total da População</t>
  </si>
  <si>
    <t>IC para Total População (Limite Inferior)</t>
  </si>
  <si>
    <t>IC para Total População (Limite Superior)</t>
  </si>
  <si>
    <t>Intensidade Amostral</t>
  </si>
  <si>
    <t>t Student</t>
  </si>
  <si>
    <t>Nível de confiança</t>
  </si>
  <si>
    <t>Parcelas</t>
  </si>
  <si>
    <t>Autor:</t>
  </si>
  <si>
    <t>Instituição:</t>
  </si>
  <si>
    <t>Universidade Federal Pará - UFPA</t>
  </si>
  <si>
    <t>%</t>
  </si>
  <si>
    <t>m³</t>
  </si>
  <si>
    <t>—</t>
  </si>
  <si>
    <t>Volume (m³/ha)</t>
  </si>
  <si>
    <t>m³/ha</t>
  </si>
  <si>
    <t>(m³/ha)²</t>
  </si>
  <si>
    <t>Valores calculados automaticamente</t>
  </si>
  <si>
    <t>Valores que devem ser informados manualmente</t>
  </si>
  <si>
    <t xml:space="preserve">Disciplina: </t>
  </si>
  <si>
    <t>Tema:</t>
  </si>
  <si>
    <t>Amostragem Aleatória Simples (AAS)</t>
  </si>
  <si>
    <r>
      <rPr>
        <b/>
        <sz val="11"/>
        <color theme="1"/>
        <rFont val="Times New Roman"/>
        <family val="1"/>
      </rPr>
      <t>Tabela 1.</t>
    </r>
    <r>
      <rPr>
        <sz val="11"/>
        <color theme="1"/>
        <rFont val="Times New Roman"/>
        <family val="1"/>
      </rPr>
      <t xml:space="preserve"> Estimativas de variáveis (Volume, Área Basal) por parcela</t>
    </r>
  </si>
  <si>
    <r>
      <rPr>
        <b/>
        <sz val="11"/>
        <color theme="1"/>
        <rFont val="Times New Roman"/>
        <family val="1"/>
      </rPr>
      <t>Tabela 2.</t>
    </r>
    <r>
      <rPr>
        <sz val="11"/>
        <color theme="1"/>
        <rFont val="Times New Roman"/>
        <family val="1"/>
      </rPr>
      <t xml:space="preserve"> Informações básicas para cálculo das estimativas.</t>
    </r>
  </si>
  <si>
    <t>Prof. Deivison Venicio Souza</t>
  </si>
  <si>
    <r>
      <rPr>
        <b/>
        <sz val="11"/>
        <color theme="1"/>
        <rFont val="Times New Roman"/>
        <family val="1"/>
      </rPr>
      <t>Tabela 4.</t>
    </r>
    <r>
      <rPr>
        <sz val="11"/>
        <color theme="1"/>
        <rFont val="Times New Roman"/>
        <family val="1"/>
      </rPr>
      <t xml:space="preserve"> Recálculo da intensidade amostral</t>
    </r>
  </si>
  <si>
    <t>Graus de Liberdade (Novo)</t>
  </si>
  <si>
    <t>t Student (Novo)</t>
  </si>
  <si>
    <t>Intensidade Amostral (Recalculada)</t>
  </si>
  <si>
    <t>Intensidade Amostral (Calculada)</t>
  </si>
  <si>
    <t>Conclusão</t>
  </si>
  <si>
    <t>1º Recálculo</t>
  </si>
  <si>
    <t>2º Recálculo</t>
  </si>
  <si>
    <t>Intensidade Amostral (1º Recálculo)</t>
  </si>
  <si>
    <t>h_m</t>
  </si>
  <si>
    <t>gi_m²</t>
  </si>
  <si>
    <t>vi_m³</t>
  </si>
  <si>
    <t>d_cm</t>
  </si>
  <si>
    <t>Arvore</t>
  </si>
  <si>
    <t>Volume (m³/600m²)</t>
  </si>
  <si>
    <r>
      <rPr>
        <b/>
        <sz val="11"/>
        <color theme="1"/>
        <rFont val="Times New Roman"/>
        <family val="1"/>
      </rPr>
      <t>Tabela 3.</t>
    </r>
    <r>
      <rPr>
        <sz val="11"/>
        <color theme="1"/>
        <rFont val="Times New Roman"/>
        <family val="1"/>
      </rPr>
      <t xml:space="preserve"> Estimativas da Amostragem Aleatória Simples (AAS) (</t>
    </r>
    <r>
      <rPr>
        <b/>
        <sz val="11"/>
        <color theme="1"/>
        <rFont val="Times New Roman"/>
        <family val="1"/>
      </rPr>
      <t>Variável interesse</t>
    </r>
    <r>
      <rPr>
        <sz val="11"/>
        <color theme="1"/>
        <rFont val="Times New Roman"/>
        <family val="1"/>
      </rPr>
      <t>: Volume de madeira)</t>
    </r>
  </si>
  <si>
    <t>m³/600m²</t>
  </si>
  <si>
    <t>(m³/600m²)²</t>
  </si>
  <si>
    <t>Variância</t>
  </si>
  <si>
    <t>Média Aritmética</t>
  </si>
  <si>
    <t>Desvio Padrão</t>
  </si>
  <si>
    <t>Coeficiente de Variação</t>
  </si>
  <si>
    <t>População Finita</t>
  </si>
  <si>
    <t>População Infinita</t>
  </si>
  <si>
    <t>Nível de confiança (alpha)</t>
  </si>
  <si>
    <t>Graus de Liberdade (n -1)</t>
  </si>
  <si>
    <t>Limite de Erro (LE)</t>
  </si>
  <si>
    <t>Fator de Proporcionalidade (FP)</t>
  </si>
  <si>
    <t xml:space="preserve">Média Amostral </t>
  </si>
  <si>
    <t>Natureza da População (Finita ou Infinita?)</t>
  </si>
  <si>
    <r>
      <t>Intensidade Amostral (</t>
    </r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)</t>
    </r>
  </si>
  <si>
    <r>
      <t>Expectância (valor esperado) do Erro (</t>
    </r>
    <r>
      <rPr>
        <i/>
        <sz val="11"/>
        <color theme="1"/>
        <rFont val="Times New Roman"/>
        <family val="1"/>
      </rPr>
      <t>E</t>
    </r>
    <r>
      <rPr>
        <sz val="11"/>
        <color theme="1"/>
        <rFont val="Times New Roman"/>
        <family val="1"/>
      </rPr>
      <t>)</t>
    </r>
  </si>
  <si>
    <r>
      <t>Fração de Amostragem (</t>
    </r>
    <r>
      <rPr>
        <i/>
        <sz val="11"/>
        <color theme="1"/>
        <rFont val="Times New Roman"/>
        <family val="1"/>
      </rPr>
      <t>f</t>
    </r>
    <r>
      <rPr>
        <sz val="11"/>
        <color theme="1"/>
        <rFont val="Times New Roman"/>
        <family val="1"/>
      </rPr>
      <t>)</t>
    </r>
  </si>
  <si>
    <r>
      <t>Número de Amostras Possíveis na População (</t>
    </r>
    <r>
      <rPr>
        <i/>
        <sz val="11"/>
        <color theme="1"/>
        <rFont val="Times New Roman"/>
        <family val="1"/>
      </rPr>
      <t>N</t>
    </r>
    <r>
      <rPr>
        <sz val="11"/>
        <color theme="1"/>
        <rFont val="Times New Roman"/>
        <family val="1"/>
      </rPr>
      <t>)</t>
    </r>
  </si>
  <si>
    <r>
      <t>Coeficiente de Variação Amostral (</t>
    </r>
    <r>
      <rPr>
        <i/>
        <sz val="11"/>
        <color theme="1"/>
        <rFont val="Times New Roman"/>
        <family val="1"/>
      </rPr>
      <t>CV</t>
    </r>
    <r>
      <rPr>
        <sz val="11"/>
        <color theme="1"/>
        <rFont val="Times New Roman"/>
        <family val="1"/>
      </rPr>
      <t>)</t>
    </r>
  </si>
  <si>
    <r>
      <t>Desvio Padrão Amostral (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)</t>
    </r>
  </si>
  <si>
    <r>
      <t>Variância Amostral (</t>
    </r>
    <r>
      <rPr>
        <i/>
        <sz val="11"/>
        <color theme="1"/>
        <rFont val="Times New Roman"/>
        <family val="1"/>
      </rPr>
      <t>S²</t>
    </r>
    <r>
      <rPr>
        <sz val="11"/>
        <color theme="1"/>
        <rFont val="Times New Roman"/>
        <family val="1"/>
      </rPr>
      <t>)</t>
    </r>
  </si>
  <si>
    <t>Erro Padrão da Média</t>
  </si>
  <si>
    <t>Erro de Amostragem</t>
  </si>
  <si>
    <t>Intervalo de Confiança Para Média</t>
  </si>
  <si>
    <t>Intervalo de Confiança Para Total da População</t>
  </si>
  <si>
    <t>Fração Amostral</t>
  </si>
  <si>
    <t>Número de Parcelas Possíveis na População</t>
  </si>
  <si>
    <t>Rótulos de Linha</t>
  </si>
  <si>
    <t>Total Geral</t>
  </si>
  <si>
    <t>Contagem de Arvore</t>
  </si>
  <si>
    <t>Soma de gi_m²</t>
  </si>
  <si>
    <t>Soma de vi_m³</t>
  </si>
  <si>
    <t>AMOSTRAGEM ALEATÓRIA SIMPLES - AAS</t>
  </si>
  <si>
    <t>Inventário Florestal</t>
  </si>
  <si>
    <t>Área das parcelas (a)</t>
  </si>
  <si>
    <t>Área Total da População (A)</t>
  </si>
  <si>
    <t>Número de parcelas amostradas (n)</t>
  </si>
  <si>
    <t>Total da População (Xchapéu)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</si>
</sst>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006100"/>
      <name val="Calibri"/>
      <family val="2"/>
      <scheme val="minor"/>
    </font>
    <font>
      <sz val="11"/>
      <color rgb="FF006100"/>
      <name val="Times New Roman"/>
      <family val="1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3" borderId="0" applyNumberFormat="0" applyBorder="0" applyAlignment="0" applyProtection="0"/>
    <xf numFmtId="9" fontId="7" fillId="0" borderId="0" applyFont="0" applyFill="0" applyBorder="0" applyAlignment="0" applyProtection="0"/>
  </cellStyleXfs>
  <cellXfs count="7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164" fontId="5" fillId="3" borderId="1" xfId="1" applyNumberFormat="1" applyFont="1" applyBorder="1" applyAlignment="1">
      <alignment horizontal="center" vertical="center"/>
    </xf>
    <xf numFmtId="164" fontId="5" fillId="4" borderId="1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vertical="center"/>
    </xf>
    <xf numFmtId="0" fontId="1" fillId="6" borderId="13" xfId="0" applyFont="1" applyFill="1" applyBorder="1" applyAlignment="1">
      <alignment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17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6" xfId="0" applyFont="1" applyFill="1" applyBorder="1" applyAlignment="1">
      <alignment vertical="center"/>
    </xf>
    <xf numFmtId="0" fontId="1" fillId="7" borderId="7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9" xfId="0" applyFont="1" applyFill="1" applyBorder="1" applyAlignment="1">
      <alignment vertical="center"/>
    </xf>
    <xf numFmtId="1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1" fontId="5" fillId="0" borderId="1" xfId="1" applyNumberFormat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left"/>
    </xf>
    <xf numFmtId="2" fontId="5" fillId="3" borderId="1" xfId="1" applyNumberFormat="1" applyFont="1" applyBorder="1" applyAlignment="1">
      <alignment horizontal="center" vertical="center"/>
    </xf>
    <xf numFmtId="165" fontId="5" fillId="4" borderId="1" xfId="1" applyNumberFormat="1" applyFont="1" applyFill="1" applyBorder="1" applyAlignment="1">
      <alignment horizontal="center" vertical="center"/>
    </xf>
    <xf numFmtId="2" fontId="5" fillId="4" borderId="1" xfId="1" applyNumberFormat="1" applyFont="1" applyFill="1" applyBorder="1" applyAlignment="1">
      <alignment horizontal="center" vertical="center"/>
    </xf>
    <xf numFmtId="1" fontId="5" fillId="4" borderId="1" xfId="1" applyNumberFormat="1" applyFont="1" applyFill="1" applyBorder="1" applyAlignment="1">
      <alignment horizontal="center" vertical="center"/>
    </xf>
    <xf numFmtId="9" fontId="5" fillId="3" borderId="1" xfId="2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2" fillId="7" borderId="6" xfId="0" applyFont="1" applyFill="1" applyBorder="1" applyAlignment="1">
      <alignment horizontal="left" vertical="center" wrapText="1"/>
    </xf>
    <xf numFmtId="0" fontId="1" fillId="7" borderId="18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7" borderId="21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0" fontId="1" fillId="8" borderId="0" xfId="0" applyFont="1" applyFill="1" applyAlignment="1">
      <alignment horizontal="center"/>
    </xf>
    <xf numFmtId="1" fontId="5" fillId="3" borderId="1" xfId="1" applyNumberFormat="1" applyFont="1" applyBorder="1" applyAlignment="1">
      <alignment horizontal="center" vertical="center"/>
    </xf>
  </cellXfs>
  <cellStyles count="3">
    <cellStyle name="Bom" xfId="1" builtinId="26"/>
    <cellStyle name="Normal" xfId="0" builtinId="0"/>
    <cellStyle name="Porcentagem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0.00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271810</xdr:colOff>
      <xdr:row>0</xdr:row>
      <xdr:rowOff>112458</xdr:rowOff>
    </xdr:from>
    <xdr:to>
      <xdr:col>21</xdr:col>
      <xdr:colOff>534272</xdr:colOff>
      <xdr:row>6</xdr:row>
      <xdr:rowOff>40182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93E98606-8158-4FBE-9833-2DA96B89D64D}"/>
            </a:ext>
          </a:extLst>
        </xdr:cNvPr>
        <xdr:cNvSpPr/>
      </xdr:nvSpPr>
      <xdr:spPr>
        <a:xfrm>
          <a:off x="4506492" y="112458"/>
          <a:ext cx="9423449" cy="1064253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pt-BR" sz="1100" b="1">
              <a:latin typeface="Times New Roman" panose="02020603050405020304" pitchFamily="18" charset="0"/>
              <a:cs typeface="Times New Roman" panose="02020603050405020304" pitchFamily="18" charset="0"/>
            </a:rPr>
            <a:t>ESTUDO</a:t>
          </a:r>
          <a:r>
            <a:rPr lang="pt-BR" sz="11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DE CASO - Sanquetta et al 2023 (pg. 124)</a:t>
          </a:r>
          <a:endParaRPr lang="pt-BR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um talhão de Pinus taeda, plantado em uma área de 40ha, foi realizado um inventário cujo objetivo é estimar o volume de madeira da população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em questão. Para realização do inventário foi utilizado o processo de amostragem aleatória simples, onde se deseja saber quantas parcelas de 600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m²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devem ser usadas para atingir a precisão desejada. A definição do número ideal de parcelas depende da variabilidade da população. Para isto, foi realizado um inventário piloto, onde foram medidas 16 parcelas com a finalidade de obter a variância da população e assim estimar a intensidade amostral para o inventário definitivo. Para o cálculo das estimativa considere o erro máximo admissível de 10%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e uma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probabilidade de 95%.</a:t>
          </a:r>
        </a:p>
        <a:p>
          <a:pPr algn="l"/>
          <a:endParaRPr lang="pt-BR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6</xdr:col>
      <xdr:colOff>273618</xdr:colOff>
      <xdr:row>12</xdr:row>
      <xdr:rowOff>20650</xdr:rowOff>
    </xdr:from>
    <xdr:to>
      <xdr:col>21</xdr:col>
      <xdr:colOff>536080</xdr:colOff>
      <xdr:row>20</xdr:row>
      <xdr:rowOff>61950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98818B-D795-4D36-98E6-9E9D318475A0}"/>
            </a:ext>
          </a:extLst>
        </xdr:cNvPr>
        <xdr:cNvSpPr/>
      </xdr:nvSpPr>
      <xdr:spPr>
        <a:xfrm>
          <a:off x="4512114" y="1383577"/>
          <a:ext cx="9400267" cy="1528129"/>
        </a:xfrm>
        <a:prstGeom prst="rect">
          <a:avLst/>
        </a:prstGeom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IMPORTANTE!</a:t>
          </a:r>
          <a:endParaRPr lang="pt-BR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pt-BR" sz="1100">
              <a:latin typeface="Times New Roman" panose="02020603050405020304" pitchFamily="18" charset="0"/>
              <a:cs typeface="Times New Roman" panose="02020603050405020304" pitchFamily="18" charset="0"/>
            </a:rPr>
            <a:t>O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Estudo de Caso com Pinus taeda apresentado em Sanquetta et al 2023 (pg. 124) apresenta os volumes por parcela (m³/600m²). No entanto, para fins didáticos é importante entender como estes volumes por parcela foram originados. Portanto, lembre-se que para obter o volume por parcela é necessário calcular o volume de cada árvore (v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). Neste exemplo, admitiu-se o cálculo do volume individual usando o fator de forma 0,45. (v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= g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*h*0,45), em que g</a:t>
          </a:r>
          <a:r>
            <a:rPr lang="pt-BR" sz="1100" baseline="-25000">
              <a:latin typeface="Times New Roman" panose="02020603050405020304" pitchFamily="18" charset="0"/>
              <a:cs typeface="Times New Roman" panose="02020603050405020304" pitchFamily="18" charset="0"/>
            </a:rPr>
            <a:t>i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 = Área transversal, em m². (gi = </a:t>
          </a:r>
          <a:r>
            <a:rPr lang="el-G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π</a:t>
          </a:r>
          <a:r>
            <a:rPr lang="pt-BR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*d²/40.000). Neste sentido, para calcular o volume de cada árvore é necessário duas variáveis dendrométricas: diâmetro e altura. Portanto, as medidas dessas variáveis foram SIMULADAS usando linguagem R, de tal modo que o volume total por parcelas (m³/600m²) fossem idêntidos (ou mais próximo o possível!) dos volumes apresentados em </a:t>
          </a:r>
          <a:r>
            <a:rPr lang="pt-BR" sz="1100" baseline="0">
              <a:solidFill>
                <a:schemeClr val="dk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Sanquetta et al 2023 (pg. 124). Finalmente, admitiu-se um espaçamento 3 x 2 m (100 árvores/parcela). (Veja os dados simulado na tabela ao lado).</a:t>
          </a:r>
          <a:endParaRPr lang="pt-BR" sz="1100" baseline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150678</xdr:colOff>
      <xdr:row>3</xdr:row>
      <xdr:rowOff>107628</xdr:rowOff>
    </xdr:from>
    <xdr:to>
      <xdr:col>0</xdr:col>
      <xdr:colOff>1291525</xdr:colOff>
      <xdr:row>6</xdr:row>
      <xdr:rowOff>133086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1A14CF6-3588-3C99-0A4E-1EC415946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678" y="462797"/>
          <a:ext cx="1140847" cy="558212"/>
        </a:xfrm>
        <a:prstGeom prst="rect">
          <a:avLst/>
        </a:prstGeom>
      </xdr:spPr>
    </xdr:pic>
    <xdr:clientData/>
  </xdr:twoCellAnchor>
  <xdr:twoCellAnchor editAs="oneCell">
    <xdr:from>
      <xdr:col>0</xdr:col>
      <xdr:colOff>102246</xdr:colOff>
      <xdr:row>10</xdr:row>
      <xdr:rowOff>5381</xdr:rowOff>
    </xdr:from>
    <xdr:to>
      <xdr:col>1</xdr:col>
      <xdr:colOff>344407</xdr:colOff>
      <xdr:row>13</xdr:row>
      <xdr:rowOff>58699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93AAEF6-A376-6ABA-D54E-10E67CDF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46" y="1603644"/>
          <a:ext cx="2082585" cy="5860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129151</xdr:colOff>
      <xdr:row>20</xdr:row>
      <xdr:rowOff>123771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8F25F5AC-E503-DC2D-3AE8-E784132D7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41356"/>
          <a:ext cx="1969575" cy="656525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</xdr:row>
      <xdr:rowOff>0</xdr:rowOff>
    </xdr:from>
    <xdr:to>
      <xdr:col>0</xdr:col>
      <xdr:colOff>1017077</xdr:colOff>
      <xdr:row>27</xdr:row>
      <xdr:rowOff>55338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BE1556E4-928B-08E3-0EFC-F09DAEF43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262034"/>
          <a:ext cx="1017076" cy="410507"/>
        </a:xfrm>
        <a:prstGeom prst="rect">
          <a:avLst/>
        </a:prstGeom>
      </xdr:spPr>
    </xdr:pic>
    <xdr:clientData/>
  </xdr:twoCellAnchor>
  <xdr:twoCellAnchor editAs="oneCell">
    <xdr:from>
      <xdr:col>3</xdr:col>
      <xdr:colOff>75340</xdr:colOff>
      <xdr:row>5</xdr:row>
      <xdr:rowOff>59196</xdr:rowOff>
    </xdr:from>
    <xdr:to>
      <xdr:col>6</xdr:col>
      <xdr:colOff>86102</xdr:colOff>
      <xdr:row>8</xdr:row>
      <xdr:rowOff>131768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A2D5890-740E-F23C-4E49-0B61A98A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1950" y="769535"/>
          <a:ext cx="1835042" cy="605326"/>
        </a:xfrm>
        <a:prstGeom prst="rect">
          <a:avLst/>
        </a:prstGeom>
      </xdr:spPr>
    </xdr:pic>
    <xdr:clientData/>
  </xdr:twoCellAnchor>
  <xdr:twoCellAnchor editAs="oneCell">
    <xdr:from>
      <xdr:col>3</xdr:col>
      <xdr:colOff>166821</xdr:colOff>
      <xdr:row>11</xdr:row>
      <xdr:rowOff>107626</xdr:rowOff>
    </xdr:from>
    <xdr:to>
      <xdr:col>4</xdr:col>
      <xdr:colOff>500465</xdr:colOff>
      <xdr:row>14</xdr:row>
      <xdr:rowOff>113009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19EEF1E-1FAA-C7B7-100F-FB372606BA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759"/>
        <a:stretch/>
      </xdr:blipFill>
      <xdr:spPr>
        <a:xfrm>
          <a:off x="3223431" y="1883473"/>
          <a:ext cx="941737" cy="538137"/>
        </a:xfrm>
        <a:prstGeom prst="rect">
          <a:avLst/>
        </a:prstGeom>
      </xdr:spPr>
    </xdr:pic>
    <xdr:clientData/>
  </xdr:twoCellAnchor>
  <xdr:twoCellAnchor editAs="oneCell">
    <xdr:from>
      <xdr:col>6</xdr:col>
      <xdr:colOff>339026</xdr:colOff>
      <xdr:row>4</xdr:row>
      <xdr:rowOff>172205</xdr:rowOff>
    </xdr:from>
    <xdr:to>
      <xdr:col>9</xdr:col>
      <xdr:colOff>556006</xdr:colOff>
      <xdr:row>8</xdr:row>
      <xdr:rowOff>123771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0020C090-D6DA-FFB3-3990-B53B7B81D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9916" y="704959"/>
          <a:ext cx="2041259" cy="661905"/>
        </a:xfrm>
        <a:prstGeom prst="rect">
          <a:avLst/>
        </a:prstGeom>
      </xdr:spPr>
    </xdr:pic>
    <xdr:clientData/>
  </xdr:twoCellAnchor>
  <xdr:twoCellAnchor editAs="oneCell">
    <xdr:from>
      <xdr:col>5</xdr:col>
      <xdr:colOff>188348</xdr:colOff>
      <xdr:row>11</xdr:row>
      <xdr:rowOff>129153</xdr:rowOff>
    </xdr:from>
    <xdr:to>
      <xdr:col>7</xdr:col>
      <xdr:colOff>86102</xdr:colOff>
      <xdr:row>14</xdr:row>
      <xdr:rowOff>151132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4C8BA165-E292-0F2F-6AD2-F599ABFAC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1145" y="1905000"/>
          <a:ext cx="1113940" cy="554733"/>
        </a:xfrm>
        <a:prstGeom prst="rect">
          <a:avLst/>
        </a:prstGeom>
      </xdr:spPr>
    </xdr:pic>
    <xdr:clientData/>
  </xdr:twoCellAnchor>
  <xdr:twoCellAnchor editAs="oneCell">
    <xdr:from>
      <xdr:col>2</xdr:col>
      <xdr:colOff>602713</xdr:colOff>
      <xdr:row>17</xdr:row>
      <xdr:rowOff>123771</xdr:rowOff>
    </xdr:from>
    <xdr:to>
      <xdr:col>5</xdr:col>
      <xdr:colOff>416843</xdr:colOff>
      <xdr:row>21</xdr:row>
      <xdr:rowOff>32288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F94A9BA6-137F-3DD7-F11D-88045515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51230" y="2965127"/>
          <a:ext cx="1638410" cy="618856"/>
        </a:xfrm>
        <a:prstGeom prst="rect">
          <a:avLst/>
        </a:prstGeom>
      </xdr:spPr>
    </xdr:pic>
    <xdr:clientData/>
  </xdr:twoCellAnchor>
  <xdr:twoCellAnchor editAs="oneCell">
    <xdr:from>
      <xdr:col>2</xdr:col>
      <xdr:colOff>565042</xdr:colOff>
      <xdr:row>23</xdr:row>
      <xdr:rowOff>102246</xdr:rowOff>
    </xdr:from>
    <xdr:to>
      <xdr:col>4</xdr:col>
      <xdr:colOff>495085</xdr:colOff>
      <xdr:row>25</xdr:row>
      <xdr:rowOff>111567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108DDED1-B264-129F-3437-9FA2525F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3559" y="4009110"/>
          <a:ext cx="1146229" cy="364491"/>
        </a:xfrm>
        <a:prstGeom prst="rect">
          <a:avLst/>
        </a:prstGeom>
      </xdr:spPr>
    </xdr:pic>
    <xdr:clientData/>
  </xdr:twoCellAnchor>
  <xdr:twoCellAnchor editAs="oneCell">
    <xdr:from>
      <xdr:col>2</xdr:col>
      <xdr:colOff>537456</xdr:colOff>
      <xdr:row>25</xdr:row>
      <xdr:rowOff>85371</xdr:rowOff>
    </xdr:from>
    <xdr:to>
      <xdr:col>6</xdr:col>
      <xdr:colOff>233139</xdr:colOff>
      <xdr:row>29</xdr:row>
      <xdr:rowOff>86101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76C47CF-792C-E557-7DAC-B5332202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5973" y="4347405"/>
          <a:ext cx="2128056" cy="711069"/>
        </a:xfrm>
        <a:prstGeom prst="rect">
          <a:avLst/>
        </a:prstGeom>
      </xdr:spPr>
    </xdr:pic>
    <xdr:clientData/>
  </xdr:twoCellAnchor>
  <xdr:twoCellAnchor editAs="oneCell">
    <xdr:from>
      <xdr:col>10</xdr:col>
      <xdr:colOff>591948</xdr:colOff>
      <xdr:row>3</xdr:row>
      <xdr:rowOff>150678</xdr:rowOff>
    </xdr:from>
    <xdr:to>
      <xdr:col>17</xdr:col>
      <xdr:colOff>77061</xdr:colOff>
      <xdr:row>9</xdr:row>
      <xdr:rowOff>28093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C2C0D9AB-9E76-435B-E41B-246FF27E4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5211" y="505847"/>
          <a:ext cx="3741765" cy="942924"/>
        </a:xfrm>
        <a:prstGeom prst="rect">
          <a:avLst/>
        </a:prstGeom>
      </xdr:spPr>
    </xdr:pic>
    <xdr:clientData/>
  </xdr:twoCellAnchor>
  <xdr:twoCellAnchor editAs="oneCell">
    <xdr:from>
      <xdr:col>11</xdr:col>
      <xdr:colOff>42374</xdr:colOff>
      <xdr:row>11</xdr:row>
      <xdr:rowOff>160761</xdr:rowOff>
    </xdr:from>
    <xdr:to>
      <xdr:col>12</xdr:col>
      <xdr:colOff>339026</xdr:colOff>
      <xdr:row>13</xdr:row>
      <xdr:rowOff>140520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504C85FE-AF6C-C924-EDA3-6C827E789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63730" y="1936608"/>
          <a:ext cx="904745" cy="334929"/>
        </a:xfrm>
        <a:prstGeom prst="rect">
          <a:avLst/>
        </a:prstGeom>
      </xdr:spPr>
    </xdr:pic>
    <xdr:clientData/>
  </xdr:twoCellAnchor>
  <xdr:twoCellAnchor editAs="oneCell">
    <xdr:from>
      <xdr:col>10</xdr:col>
      <xdr:colOff>559660</xdr:colOff>
      <xdr:row>17</xdr:row>
      <xdr:rowOff>111653</xdr:rowOff>
    </xdr:from>
    <xdr:to>
      <xdr:col>17</xdr:col>
      <xdr:colOff>322882</xdr:colOff>
      <xdr:row>22</xdr:row>
      <xdr:rowOff>65002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EB232DE8-680E-2B23-9991-ED911E9DB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2923" y="2953009"/>
          <a:ext cx="4019874" cy="841272"/>
        </a:xfrm>
        <a:prstGeom prst="rect">
          <a:avLst/>
        </a:prstGeom>
      </xdr:spPr>
    </xdr:pic>
    <xdr:clientData/>
  </xdr:twoCellAnchor>
  <xdr:twoCellAnchor editAs="oneCell">
    <xdr:from>
      <xdr:col>10</xdr:col>
      <xdr:colOff>543517</xdr:colOff>
      <xdr:row>27</xdr:row>
      <xdr:rowOff>37854</xdr:rowOff>
    </xdr:from>
    <xdr:to>
      <xdr:col>12</xdr:col>
      <xdr:colOff>349788</xdr:colOff>
      <xdr:row>31</xdr:row>
      <xdr:rowOff>63251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FEA8BBF4-2192-BCCB-015C-F47AC0FCF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56780" y="4655057"/>
          <a:ext cx="1022457" cy="735736"/>
        </a:xfrm>
        <a:prstGeom prst="rect">
          <a:avLst/>
        </a:prstGeom>
      </xdr:spPr>
    </xdr:pic>
    <xdr:clientData/>
  </xdr:twoCellAnchor>
  <xdr:twoCellAnchor editAs="oneCell">
    <xdr:from>
      <xdr:col>11</xdr:col>
      <xdr:colOff>53136</xdr:colOff>
      <xdr:row>33</xdr:row>
      <xdr:rowOff>75339</xdr:rowOff>
    </xdr:from>
    <xdr:to>
      <xdr:col>12</xdr:col>
      <xdr:colOff>352812</xdr:colOff>
      <xdr:row>37</xdr:row>
      <xdr:rowOff>120459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E0998A41-30AF-AC0D-2184-654D1B02B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74492" y="5758051"/>
          <a:ext cx="907769" cy="7554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visor" refreshedDate="46155.642710879627" createdVersion="8" refreshedVersion="8" minRefreshableVersion="3" recordCount="1600" xr:uid="{CB4A2777-2119-4FAB-9924-C1F8FB04C531}">
  <cacheSource type="worksheet">
    <worksheetSource name="Pinus"/>
  </cacheSource>
  <cacheFields count="6">
    <cacheField name="Parcela" numFmtId="0">
      <sharedItems containsSemiMixedTypes="0" containsString="0" containsNumber="1" containsInteger="1" minValue="1" maxValue="16" count="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</sharedItems>
    </cacheField>
    <cacheField name="Arvore" numFmtId="0">
      <sharedItems containsSemiMixedTypes="0" containsString="0" containsNumber="1" containsInteger="1" minValue="1" maxValue="100"/>
    </cacheField>
    <cacheField name="d_cm" numFmtId="2">
      <sharedItems containsSemiMixedTypes="0" containsString="0" containsNumber="1" minValue="8.76" maxValue="33.56"/>
    </cacheField>
    <cacheField name="h_m" numFmtId="2">
      <sharedItems containsSemiMixedTypes="0" containsString="0" containsNumber="1" minValue="9.81" maxValue="25.85"/>
    </cacheField>
    <cacheField name="gi_m²" numFmtId="164">
      <sharedItems containsSemiMixedTypes="0" containsString="0" containsNumber="1" minValue="6.0269570103528023E-3" maxValue="8.8457321692303248E-2"/>
    </cacheField>
    <cacheField name="vi_m³" numFmtId="164">
      <sharedItems containsSemiMixedTypes="0" containsString="0" containsNumber="1" minValue="3.1623443433321151E-2" maxValue="0.77578617769483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0">
  <r>
    <x v="0"/>
    <n v="1"/>
    <n v="17.760000000000002"/>
    <n v="13.07"/>
    <n v="2.4772840374323101E-2"/>
    <n v="0.14570146066158132"/>
  </r>
  <r>
    <x v="0"/>
    <n v="2"/>
    <n v="19.079999999999998"/>
    <n v="13.35"/>
    <n v="2.8592137395145278E-2"/>
    <n v="0.17176726540133525"/>
  </r>
  <r>
    <x v="0"/>
    <n v="3"/>
    <n v="26.23"/>
    <n v="14.61"/>
    <n v="5.4036406805375227E-2"/>
    <n v="0.35526235654193944"/>
  </r>
  <r>
    <x v="0"/>
    <n v="4"/>
    <n v="20.28"/>
    <n v="13.59"/>
    <n v="3.2301730000504111E-2"/>
    <n v="0.19754122981808289"/>
  </r>
  <r>
    <x v="0"/>
    <n v="5"/>
    <n v="20.52"/>
    <n v="13.64"/>
    <n v="3.3070791882102893E-2"/>
    <n v="0.20298852057234756"/>
  </r>
  <r>
    <x v="0"/>
    <n v="6"/>
    <n v="26.86"/>
    <n v="14.7"/>
    <n v="5.6663304480545768E-2"/>
    <n v="0.37482775913881028"/>
  </r>
  <r>
    <x v="0"/>
    <n v="7"/>
    <n v="21.84"/>
    <n v="13.89"/>
    <n v="3.7462361420702993E-2"/>
    <n v="0.23415849006010409"/>
  </r>
  <r>
    <x v="0"/>
    <n v="8"/>
    <n v="14.94"/>
    <n v="12.39"/>
    <n v="1.7530369750369867E-2"/>
    <n v="9.7740576543187213E-2"/>
  </r>
  <r>
    <x v="0"/>
    <n v="9"/>
    <n v="17.25"/>
    <n v="12.95"/>
    <n v="2.3370504099595318E-2"/>
    <n v="0.13619161264039173"/>
  </r>
  <r>
    <x v="0"/>
    <n v="10"/>
    <n v="18.22"/>
    <n v="13.17"/>
    <n v="2.6072737166598945E-2"/>
    <n v="0.15452007681784866"/>
  </r>
  <r>
    <x v="0"/>
    <n v="11"/>
    <n v="24.9"/>
    <n v="14.4"/>
    <n v="4.8695471528805184E-2"/>
    <n v="0.31554665550665761"/>
  </r>
  <r>
    <x v="0"/>
    <n v="12"/>
    <n v="21.44"/>
    <n v="13.81"/>
    <n v="3.6102680120229338E-2"/>
    <n v="0.22436010560716524"/>
  </r>
  <r>
    <x v="0"/>
    <n v="13"/>
    <n v="21.6"/>
    <n v="13.84"/>
    <n v="3.6643536711471351E-2"/>
    <n v="0.2282159466390436"/>
  </r>
  <r>
    <x v="0"/>
    <n v="14"/>
    <n v="20.440000000000001"/>
    <n v="13.62"/>
    <n v="3.2813432611920816E-2"/>
    <n v="0.20111352847846267"/>
  </r>
  <r>
    <x v="0"/>
    <n v="15"/>
    <n v="17.78"/>
    <n v="13.07"/>
    <n v="2.4828666475777392E-2"/>
    <n v="0.14602980187728473"/>
  </r>
  <r>
    <x v="0"/>
    <n v="16"/>
    <n v="27.15"/>
    <n v="14.74"/>
    <n v="5.7893465769893557E-2"/>
    <n v="0.38400735845170397"/>
  </r>
  <r>
    <x v="0"/>
    <n v="17"/>
    <n v="21.99"/>
    <n v="13.91"/>
    <n v="3.7978721443228634E-2"/>
    <n v="0.23772780687388964"/>
  </r>
  <r>
    <x v="0"/>
    <n v="18"/>
    <n v="12.13"/>
    <n v="11.56"/>
    <n v="1.1556105102799403E-2"/>
    <n v="6.0114858744762495E-2"/>
  </r>
  <r>
    <x v="0"/>
    <n v="19"/>
    <n v="22.81"/>
    <n v="14.06"/>
    <n v="4.0863960136285502E-2"/>
    <n v="0.25854627578227835"/>
  </r>
  <r>
    <x v="0"/>
    <n v="20"/>
    <n v="18.11"/>
    <n v="13.15"/>
    <n v="2.5758868498560423E-2"/>
    <n v="0.15242810434023132"/>
  </r>
  <r>
    <x v="0"/>
    <n v="21"/>
    <n v="15.73"/>
    <n v="12.59"/>
    <n v="1.9433334522410452E-2"/>
    <n v="0.11009955673671641"/>
  </r>
  <r>
    <x v="0"/>
    <n v="22"/>
    <n v="19.13"/>
    <n v="13.36"/>
    <n v="2.874218771426236E-2"/>
    <n v="0.1727980325381453"/>
  </r>
  <r>
    <x v="0"/>
    <n v="23"/>
    <n v="15.9"/>
    <n v="12.63"/>
    <n v="1.9855650968850891E-2"/>
    <n v="0.11284959228146405"/>
  </r>
  <r>
    <x v="0"/>
    <n v="24"/>
    <n v="17.079999999999998"/>
    <n v="12.92"/>
    <n v="2.2912137877454934E-2"/>
    <n v="0.13321116961952301"/>
  </r>
  <r>
    <x v="0"/>
    <n v="25"/>
    <n v="17.5"/>
    <n v="13.01"/>
    <n v="2.4052818754046853E-2"/>
    <n v="0.14081722739556732"/>
  </r>
  <r>
    <x v="0"/>
    <n v="26"/>
    <n v="13.25"/>
    <n v="11.91"/>
    <n v="1.3788646506146453E-2"/>
    <n v="7.3900250949691909E-2"/>
  </r>
  <r>
    <x v="0"/>
    <n v="27"/>
    <n v="23.35"/>
    <n v="14.15"/>
    <n v="4.2821675014296526E-2"/>
    <n v="0.27266701565353313"/>
  </r>
  <r>
    <x v="0"/>
    <n v="28"/>
    <n v="20.61"/>
    <n v="13.66"/>
    <n v="3.336152272024772E-2"/>
    <n v="0.20507328016136273"/>
  </r>
  <r>
    <x v="0"/>
    <n v="29"/>
    <n v="15.45"/>
    <n v="12.52"/>
    <n v="1.874765050983794E-2"/>
    <n v="0.10562426297242695"/>
  </r>
  <r>
    <x v="0"/>
    <n v="30"/>
    <n v="25.02"/>
    <n v="14.42"/>
    <n v="4.91659564446068E-2"/>
    <n v="0.31903789136905353"/>
  </r>
  <r>
    <x v="0"/>
    <n v="31"/>
    <n v="21.71"/>
    <n v="13.86"/>
    <n v="3.701770825049553E-2"/>
    <n v="0.23087944635834065"/>
  </r>
  <r>
    <x v="0"/>
    <n v="32"/>
    <n v="18.82"/>
    <n v="13.3"/>
    <n v="2.7818206044933437E-2"/>
    <n v="0.16649196317892664"/>
  </r>
  <r>
    <x v="0"/>
    <n v="33"/>
    <n v="23.58"/>
    <n v="14.19"/>
    <n v="4.3669425937886093E-2"/>
    <n v="0.27885111932637169"/>
  </r>
  <r>
    <x v="0"/>
    <n v="34"/>
    <n v="23.51"/>
    <n v="14.18"/>
    <n v="4.34105351412854E-2"/>
    <n v="0.27700262473654214"/>
  </r>
  <r>
    <x v="0"/>
    <n v="35"/>
    <n v="23.29"/>
    <n v="14.14"/>
    <n v="4.2601889192251378E-2"/>
    <n v="0.27107582093029553"/>
  </r>
  <r>
    <x v="0"/>
    <n v="36"/>
    <n v="22.75"/>
    <n v="14.05"/>
    <n v="4.0649263694339181E-2"/>
    <n v="0.25700496970745945"/>
  </r>
  <r>
    <x v="0"/>
    <n v="37"/>
    <n v="22.22"/>
    <n v="13.95"/>
    <n v="3.8777337857716067E-2"/>
    <n v="0.24342473840181258"/>
  </r>
  <r>
    <x v="0"/>
    <n v="38"/>
    <n v="19.75"/>
    <n v="13.49"/>
    <n v="3.0635437111021718E-2"/>
    <n v="0.18597242098245734"/>
  </r>
  <r>
    <x v="0"/>
    <n v="39"/>
    <n v="18.78"/>
    <n v="13.29"/>
    <n v="2.7700082161158462E-2"/>
    <n v="0.1656603413648082"/>
  </r>
  <r>
    <x v="0"/>
    <n v="40"/>
    <n v="18.48"/>
    <n v="13.22"/>
    <n v="2.6822164094112793E-2"/>
    <n v="0.15956505419587702"/>
  </r>
  <r>
    <x v="0"/>
    <n v="41"/>
    <n v="17.22"/>
    <n v="12.95"/>
    <n v="2.3289286075518386E-2"/>
    <n v="0.13571831460508338"/>
  </r>
  <r>
    <x v="0"/>
    <n v="42"/>
    <n v="19.170000000000002"/>
    <n v="13.37"/>
    <n v="2.8862510712894859E-2"/>
    <n v="0.17365129570413193"/>
  </r>
  <r>
    <x v="0"/>
    <n v="43"/>
    <n v="14.94"/>
    <n v="12.39"/>
    <n v="1.7530369750369867E-2"/>
    <n v="9.7740576543187213E-2"/>
  </r>
  <r>
    <x v="0"/>
    <n v="44"/>
    <n v="28.68"/>
    <n v="14.96"/>
    <n v="6.4602329027652922E-2"/>
    <n v="0.43490287901415947"/>
  </r>
  <r>
    <x v="0"/>
    <n v="45"/>
    <n v="24.83"/>
    <n v="14.39"/>
    <n v="4.8422066574144898E-2"/>
    <n v="0.31355709210087529"/>
  </r>
  <r>
    <x v="0"/>
    <n v="46"/>
    <n v="15.51"/>
    <n v="12.53"/>
    <n v="1.8893546072670651E-2"/>
    <n v="0.10653125953075347"/>
  </r>
  <r>
    <x v="0"/>
    <n v="47"/>
    <n v="18.39"/>
    <n v="13.21"/>
    <n v="2.6561545421552622E-2"/>
    <n v="0.15789510675841956"/>
  </r>
  <r>
    <x v="0"/>
    <n v="48"/>
    <n v="18.13"/>
    <n v="13.15"/>
    <n v="2.5815794157443468E-2"/>
    <n v="0.15276496192667174"/>
  </r>
  <r>
    <x v="0"/>
    <n v="49"/>
    <n v="23.12"/>
    <n v="14.11"/>
    <n v="4.1982233603275701E-2"/>
    <n v="0.26656619226399908"/>
  </r>
  <r>
    <x v="0"/>
    <n v="50"/>
    <n v="19.670000000000002"/>
    <n v="13.47"/>
    <n v="3.0387753946212705E-2"/>
    <n v="0.18419537054496832"/>
  </r>
  <r>
    <x v="0"/>
    <n v="51"/>
    <n v="21.01"/>
    <n v="13.73"/>
    <n v="3.4669053582671805E-2"/>
    <n v="0.21420274756053775"/>
  </r>
  <r>
    <x v="0"/>
    <n v="52"/>
    <n v="19.89"/>
    <n v="13.51"/>
    <n v="3.1071301675780764E-2"/>
    <n v="0.18889797853790916"/>
  </r>
  <r>
    <x v="0"/>
    <n v="53"/>
    <n v="19.829999999999998"/>
    <n v="13.5"/>
    <n v="3.0884125585479882E-2"/>
    <n v="0.18762106293179029"/>
  </r>
  <r>
    <x v="0"/>
    <n v="54"/>
    <n v="25.47"/>
    <n v="14.49"/>
    <n v="5.0950420341753969E-2"/>
    <n v="0.33222221583840678"/>
  </r>
  <r>
    <x v="0"/>
    <n v="55"/>
    <n v="19.100000000000001"/>
    <n v="13.35"/>
    <n v="2.8652110398902319E-2"/>
    <n v="0.17212755322140569"/>
  </r>
  <r>
    <x v="0"/>
    <n v="56"/>
    <n v="26.07"/>
    <n v="14.58"/>
    <n v="5.3379185622244245E-2"/>
    <n v="0.35022083686754452"/>
  </r>
  <r>
    <x v="0"/>
    <n v="57"/>
    <n v="13.8"/>
    <n v="12.07"/>
    <n v="1.4957122623741007E-2"/>
    <n v="8.1239611530849271E-2"/>
  </r>
  <r>
    <x v="0"/>
    <n v="58"/>
    <n v="22.34"/>
    <n v="13.97"/>
    <n v="3.9197305963647955E-2"/>
    <n v="0.24641386394047285"/>
  </r>
  <r>
    <x v="0"/>
    <n v="59"/>
    <n v="20.5"/>
    <n v="13.63"/>
    <n v="3.3006357816777764E-2"/>
    <n v="0.20244449566920641"/>
  </r>
  <r>
    <x v="0"/>
    <n v="60"/>
    <n v="20.86"/>
    <n v="13.7"/>
    <n v="3.4175784266150026E-2"/>
    <n v="0.21069371000081491"/>
  </r>
  <r>
    <x v="0"/>
    <n v="61"/>
    <n v="21.52"/>
    <n v="13.83"/>
    <n v="3.6372605761025759E-2"/>
    <n v="0.22636491195374381"/>
  </r>
  <r>
    <x v="0"/>
    <n v="62"/>
    <n v="17.989999999999998"/>
    <n v="13.12"/>
    <n v="2.5418634014176645E-2"/>
    <n v="0.15007161521969889"/>
  </r>
  <r>
    <x v="0"/>
    <n v="63"/>
    <n v="18.670000000000002"/>
    <n v="13.26"/>
    <n v="2.7376537387746886E-2"/>
    <n v="0.16335579859268567"/>
  </r>
  <r>
    <x v="0"/>
    <n v="64"/>
    <n v="15.93"/>
    <n v="12.64"/>
    <n v="1.9930648639473712E-2"/>
    <n v="0.11336552946132648"/>
  </r>
  <r>
    <x v="0"/>
    <n v="65"/>
    <n v="15.71"/>
    <n v="12.58"/>
    <n v="1.9383948685896019E-2"/>
    <n v="0.10973253351085736"/>
  </r>
  <r>
    <x v="0"/>
    <n v="66"/>
    <n v="21.21"/>
    <n v="13.77"/>
    <n v="3.5332243791844603E-2"/>
    <n v="0.21893624865616507"/>
  </r>
  <r>
    <x v="0"/>
    <n v="67"/>
    <n v="21.79"/>
    <n v="13.88"/>
    <n v="3.7291026811357833E-2"/>
    <n v="0.23291975346374102"/>
  </r>
  <r>
    <x v="0"/>
    <n v="68"/>
    <n v="20.21"/>
    <n v="13.58"/>
    <n v="3.2079124599052378E-2"/>
    <n v="0.19603553042480909"/>
  </r>
  <r>
    <x v="0"/>
    <n v="69"/>
    <n v="23.69"/>
    <n v="14.21"/>
    <n v="4.4077809420907874E-2"/>
    <n v="0.28185555234199544"/>
  </r>
  <r>
    <x v="0"/>
    <n v="70"/>
    <n v="28.2"/>
    <n v="14.89"/>
    <n v="6.245800354601868E-2"/>
    <n v="0.41849985276009821"/>
  </r>
  <r>
    <x v="0"/>
    <n v="71"/>
    <n v="18.04"/>
    <n v="13.13"/>
    <n v="2.55601234933127E-2"/>
    <n v="0.15102198966023811"/>
  </r>
  <r>
    <x v="0"/>
    <n v="72"/>
    <n v="10.76"/>
    <n v="11.09"/>
    <n v="9.0931514402564396E-3"/>
    <n v="4.5379372262599763E-2"/>
  </r>
  <r>
    <x v="0"/>
    <n v="73"/>
    <n v="24.02"/>
    <n v="14.26"/>
    <n v="4.5314363851305703E-2"/>
    <n v="0.29078227283382868"/>
  </r>
  <r>
    <x v="0"/>
    <n v="74"/>
    <n v="17.16"/>
    <n v="12.93"/>
    <n v="2.3127274142372763E-2"/>
    <n v="0.13456604459739593"/>
  </r>
  <r>
    <x v="0"/>
    <n v="75"/>
    <n v="17.25"/>
    <n v="12.95"/>
    <n v="2.3370504099595318E-2"/>
    <n v="0.13619161264039173"/>
  </r>
  <r>
    <x v="0"/>
    <n v="76"/>
    <n v="24.1"/>
    <n v="14.27"/>
    <n v="4.5616710728287199E-2"/>
    <n v="0.29292770794169626"/>
  </r>
  <r>
    <x v="0"/>
    <n v="77"/>
    <n v="18.86"/>
    <n v="13.31"/>
    <n v="2.7936581256120696E-2"/>
    <n v="0.16732615343353491"/>
  </r>
  <r>
    <x v="0"/>
    <n v="78"/>
    <n v="15.12"/>
    <n v="12.43"/>
    <n v="1.7955332988620957E-2"/>
    <n v="0.10043315507185133"/>
  </r>
  <r>
    <x v="0"/>
    <n v="79"/>
    <n v="20.73"/>
    <n v="13.68"/>
    <n v="3.3751143041145931E-2"/>
    <n v="0.20777203656129434"/>
  </r>
  <r>
    <x v="0"/>
    <n v="80"/>
    <n v="19.440000000000001"/>
    <n v="13.43"/>
    <n v="2.968126473629179E-2"/>
    <n v="0.17937872343377945"/>
  </r>
  <r>
    <x v="0"/>
    <n v="81"/>
    <n v="20.02"/>
    <n v="13.54"/>
    <n v="3.1478789804896261E-2"/>
    <n v="0.19180026628123292"/>
  </r>
  <r>
    <x v="0"/>
    <n v="82"/>
    <n v="21.54"/>
    <n v="13.83"/>
    <n v="3.6440244250857547E-2"/>
    <n v="0.22678586009521196"/>
  </r>
  <r>
    <x v="0"/>
    <n v="83"/>
    <n v="18.52"/>
    <n v="13.23"/>
    <n v="2.6938403022295613E-2"/>
    <n v="0.16037778239323694"/>
  </r>
  <r>
    <x v="0"/>
    <n v="84"/>
    <n v="22.58"/>
    <n v="14.02"/>
    <n v="4.0044028015643468E-2"/>
    <n v="0.25263777275069466"/>
  </r>
  <r>
    <x v="0"/>
    <n v="85"/>
    <n v="19.12"/>
    <n v="13.36"/>
    <n v="2.8712146234512414E-2"/>
    <n v="0.17261742316188863"/>
  </r>
  <r>
    <x v="0"/>
    <n v="86"/>
    <n v="21.33"/>
    <n v="13.79"/>
    <n v="3.5733173846295721E-2"/>
    <n v="0.22174221030318808"/>
  </r>
  <r>
    <x v="0"/>
    <n v="87"/>
    <n v="24.39"/>
    <n v="14.32"/>
    <n v="4.6721145479638321E-2"/>
    <n v="0.30107106147078938"/>
  </r>
  <r>
    <x v="0"/>
    <n v="88"/>
    <n v="21.74"/>
    <n v="13.87"/>
    <n v="3.7120084901094377E-2"/>
    <n v="0.23168500991018057"/>
  </r>
  <r>
    <x v="0"/>
    <n v="89"/>
    <n v="18.7"/>
    <n v="13.27"/>
    <n v="2.746458837584537E-2"/>
    <n v="0.16400478948636063"/>
  </r>
  <r>
    <x v="0"/>
    <n v="90"/>
    <n v="24.6"/>
    <n v="14.35"/>
    <n v="4.7529155256159986E-2"/>
    <n v="0.30691952006665307"/>
  </r>
  <r>
    <x v="0"/>
    <n v="91"/>
    <n v="23.97"/>
    <n v="14.25"/>
    <n v="4.5125907561998489E-2"/>
    <n v="0.28936988224131532"/>
  </r>
  <r>
    <x v="0"/>
    <n v="92"/>
    <n v="22.19"/>
    <n v="13.95"/>
    <n v="3.8672699260406632E-2"/>
    <n v="0.24276786960720265"/>
  </r>
  <r>
    <x v="0"/>
    <n v="93"/>
    <n v="20.95"/>
    <n v="13.72"/>
    <n v="3.4471321741054849E-2"/>
    <n v="0.21282594042927266"/>
  </r>
  <r>
    <x v="0"/>
    <n v="94"/>
    <n v="17.489999999999998"/>
    <n v="13.01"/>
    <n v="2.4025337672309573E-2"/>
    <n v="0.14065633940253641"/>
  </r>
  <r>
    <x v="0"/>
    <n v="95"/>
    <n v="25.44"/>
    <n v="14.49"/>
    <n v="5.0830466480258282E-2"/>
    <n v="0.33144005668452414"/>
  </r>
  <r>
    <x v="0"/>
    <n v="96"/>
    <n v="17.600000000000001"/>
    <n v="13.03"/>
    <n v="2.4328493509399363E-2"/>
    <n v="0.14265012169236316"/>
  </r>
  <r>
    <x v="0"/>
    <n v="97"/>
    <n v="28.75"/>
    <n v="14.97"/>
    <n v="6.4918066943320335E-2"/>
    <n v="0.43732055796367747"/>
  </r>
  <r>
    <x v="0"/>
    <n v="98"/>
    <n v="26.13"/>
    <n v="14.59"/>
    <n v="5.3625172327020312E-2"/>
    <n v="0.35207606891305188"/>
  </r>
  <r>
    <x v="0"/>
    <n v="99"/>
    <n v="19.059999999999999"/>
    <n v="13.35"/>
    <n v="2.8532227223241325E-2"/>
    <n v="0.17140735504362226"/>
  </r>
  <r>
    <x v="0"/>
    <n v="100"/>
    <n v="15.89"/>
    <n v="12.63"/>
    <n v="1.9830683161236488E-2"/>
    <n v="0.11270768774688759"/>
  </r>
  <r>
    <x v="1"/>
    <n v="1"/>
    <n v="17.16"/>
    <n v="13.1"/>
    <n v="2.3127274142372763E-2"/>
    <n v="0.13633528106928744"/>
  </r>
  <r>
    <x v="1"/>
    <n v="2"/>
    <n v="21.03"/>
    <n v="13.91"/>
    <n v="3.4735089860250257E-2"/>
    <n v="0.21742429498023649"/>
  </r>
  <r>
    <x v="1"/>
    <n v="3"/>
    <n v="19.010000000000002"/>
    <n v="13.51"/>
    <n v="2.8382726682838626E-2"/>
    <n v="0.17255278686831743"/>
  </r>
  <r>
    <x v="1"/>
    <n v="4"/>
    <n v="18.61"/>
    <n v="13.42"/>
    <n v="2.7200859526558138E-2"/>
    <n v="0.1642659906808846"/>
  </r>
  <r>
    <x v="1"/>
    <n v="5"/>
    <n v="16.190000000000001"/>
    <n v="12.86"/>
    <n v="2.058655035369019E-2"/>
    <n v="0.11913436689680514"/>
  </r>
  <r>
    <x v="1"/>
    <n v="6"/>
    <n v="19.82"/>
    <n v="13.67"/>
    <n v="3.0852984548301175E-2"/>
    <n v="0.18979213444887466"/>
  </r>
  <r>
    <x v="1"/>
    <n v="7"/>
    <n v="16.86"/>
    <n v="13.03"/>
    <n v="2.2325696776809328E-2"/>
    <n v="0.13090672305082149"/>
  </r>
  <r>
    <x v="1"/>
    <n v="8"/>
    <n v="13.33"/>
    <n v="12.09"/>
    <n v="1.3955653571611285E-2"/>
    <n v="7.5925733256351199E-2"/>
  </r>
  <r>
    <x v="1"/>
    <n v="9"/>
    <n v="18.48"/>
    <n v="13.39"/>
    <n v="2.6822164094112793E-2"/>
    <n v="0.16161694974907664"/>
  </r>
  <r>
    <x v="1"/>
    <n v="10"/>
    <n v="23.68"/>
    <n v="14.38"/>
    <n v="4.4040605109907725E-2"/>
    <n v="0.2849867556662129"/>
  </r>
  <r>
    <x v="1"/>
    <n v="11"/>
    <n v="17.7"/>
    <n v="13.22"/>
    <n v="2.4605739061078654E-2"/>
    <n v="0.14637954167435693"/>
  </r>
  <r>
    <x v="1"/>
    <n v="12"/>
    <n v="22.43"/>
    <n v="14.17"/>
    <n v="3.9513766445625688E-2"/>
    <n v="0.25195953174053221"/>
  </r>
  <r>
    <x v="1"/>
    <n v="13"/>
    <n v="13.53"/>
    <n v="12.14"/>
    <n v="1.4377569464988391E-2"/>
    <n v="7.854466198723159E-2"/>
  </r>
  <r>
    <x v="1"/>
    <n v="14"/>
    <n v="19.78"/>
    <n v="13.66"/>
    <n v="3.0728577479219026E-2"/>
    <n v="0.18888856576475935"/>
  </r>
  <r>
    <x v="1"/>
    <n v="15"/>
    <n v="22.08"/>
    <n v="14.1"/>
    <n v="3.8290233916776967E-2"/>
    <n v="0.24295153420194987"/>
  </r>
  <r>
    <x v="1"/>
    <n v="16"/>
    <n v="21.2"/>
    <n v="13.94"/>
    <n v="3.5298935055734913E-2"/>
    <n v="0.22143021960462511"/>
  </r>
  <r>
    <x v="1"/>
    <n v="17"/>
    <n v="20.420000000000002"/>
    <n v="13.79"/>
    <n v="3.2749249874007978E-2"/>
    <n v="0.2032254700931565"/>
  </r>
  <r>
    <x v="1"/>
    <n v="18"/>
    <n v="17.440000000000001"/>
    <n v="13.16"/>
    <n v="2.3888167883072218E-2"/>
    <n v="0.14146573020355369"/>
  </r>
  <r>
    <x v="1"/>
    <n v="19"/>
    <n v="16.600000000000001"/>
    <n v="12.96"/>
    <n v="2.1642431790580091E-2"/>
    <n v="0.12621866220266309"/>
  </r>
  <r>
    <x v="1"/>
    <n v="20"/>
    <n v="15.9"/>
    <n v="12.79"/>
    <n v="1.9855650968850891E-2"/>
    <n v="0.11427919915122131"/>
  </r>
  <r>
    <x v="1"/>
    <n v="21"/>
    <n v="20.47"/>
    <n v="13.8"/>
    <n v="3.2909824528514577E-2"/>
    <n v="0.20437001032207555"/>
  </r>
  <r>
    <x v="1"/>
    <n v="22"/>
    <n v="16.21"/>
    <n v="12.87"/>
    <n v="2.0637444154678344E-2"/>
    <n v="0.11952175782181963"/>
  </r>
  <r>
    <x v="1"/>
    <n v="23"/>
    <n v="18.04"/>
    <n v="13.29"/>
    <n v="2.55601234933127E-2"/>
    <n v="0.15286231855175661"/>
  </r>
  <r>
    <x v="1"/>
    <n v="24"/>
    <n v="18.98"/>
    <n v="13.5"/>
    <n v="2.8293214854156212E-2"/>
    <n v="0.17188128023899898"/>
  </r>
  <r>
    <x v="1"/>
    <n v="25"/>
    <n v="27.38"/>
    <n v="14.96"/>
    <n v="5.8878504292445004E-2"/>
    <n v="0.3963700908967398"/>
  </r>
  <r>
    <x v="1"/>
    <n v="26"/>
    <n v="17.39"/>
    <n v="13.15"/>
    <n v="2.3751390792916546E-2"/>
    <n v="0.14054885501708367"/>
  </r>
  <r>
    <x v="1"/>
    <n v="27"/>
    <n v="20.94"/>
    <n v="13.89"/>
    <n v="3.443842141199014E-2"/>
    <n v="0.21525735303564439"/>
  </r>
  <r>
    <x v="1"/>
    <n v="28"/>
    <n v="20.309999999999999"/>
    <n v="13.77"/>
    <n v="3.2397367934861011E-2"/>
    <n v="0.20075029040836626"/>
  </r>
  <r>
    <x v="1"/>
    <n v="29"/>
    <n v="16.149999999999999"/>
    <n v="12.85"/>
    <n v="2.0484951247273092E-2"/>
    <n v="0.11845423058735664"/>
  </r>
  <r>
    <x v="1"/>
    <n v="30"/>
    <n v="19.71"/>
    <n v="13.65"/>
    <n v="3.0511469864911066E-2"/>
    <n v="0.18741670364521623"/>
  </r>
  <r>
    <x v="1"/>
    <n v="31"/>
    <n v="25.78"/>
    <n v="14.72"/>
    <n v="5.2198221673851672E-2"/>
    <n v="0.34576102036759349"/>
  </r>
  <r>
    <x v="1"/>
    <n v="32"/>
    <n v="21.81"/>
    <n v="14.05"/>
    <n v="3.735951353120609E-2"/>
    <n v="0.23620552430105055"/>
  </r>
  <r>
    <x v="1"/>
    <n v="33"/>
    <n v="20.16"/>
    <n v="13.74"/>
    <n v="3.1920591979770596E-2"/>
    <n v="0.19736502021092162"/>
  </r>
  <r>
    <x v="1"/>
    <n v="34"/>
    <n v="18.309999999999999"/>
    <n v="13.35"/>
    <n v="2.6330952520779122E-2"/>
    <n v="0.15818319726858057"/>
  </r>
  <r>
    <x v="1"/>
    <n v="35"/>
    <n v="11.79"/>
    <n v="11.59"/>
    <n v="1.0917356484471523E-2"/>
    <n v="5.693947274476123E-2"/>
  </r>
  <r>
    <x v="1"/>
    <n v="36"/>
    <n v="24.53"/>
    <n v="14.52"/>
    <n v="4.7259048973785966E-2"/>
    <n v="0.30879062599471746"/>
  </r>
  <r>
    <x v="1"/>
    <n v="37"/>
    <n v="14.16"/>
    <n v="12.33"/>
    <n v="1.5747672999090342E-2"/>
    <n v="8.7375963635452761E-2"/>
  </r>
  <r>
    <x v="1"/>
    <n v="38"/>
    <n v="22.96"/>
    <n v="14.26"/>
    <n v="4.1403175245366027E-2"/>
    <n v="0.26568417554951379"/>
  </r>
  <r>
    <x v="1"/>
    <n v="39"/>
    <n v="27.64"/>
    <n v="15"/>
    <n v="6.0002032073148324E-2"/>
    <n v="0.40501371649375117"/>
  </r>
  <r>
    <x v="1"/>
    <n v="40"/>
    <n v="14.22"/>
    <n v="12.35"/>
    <n v="1.588141059835366E-2"/>
    <n v="8.8260939400350472E-2"/>
  </r>
  <r>
    <x v="1"/>
    <n v="41"/>
    <n v="22.81"/>
    <n v="14.23"/>
    <n v="4.0863960136285502E-2"/>
    <n v="0.26167236873270422"/>
  </r>
  <r>
    <x v="1"/>
    <n v="42"/>
    <n v="18.95"/>
    <n v="13.49"/>
    <n v="2.8203844397143213E-2"/>
    <n v="0.17121143741285788"/>
  </r>
  <r>
    <x v="1"/>
    <n v="43"/>
    <n v="13.71"/>
    <n v="12.2"/>
    <n v="1.4762665892465433E-2"/>
    <n v="8.1047035749635218E-2"/>
  </r>
  <r>
    <x v="1"/>
    <n v="44"/>
    <n v="13.94"/>
    <n v="12.27"/>
    <n v="1.526213985447804E-2"/>
    <n v="8.4269905206500489E-2"/>
  </r>
  <r>
    <x v="1"/>
    <n v="45"/>
    <n v="13.59"/>
    <n v="12.16"/>
    <n v="1.4505369454136425E-2"/>
    <n v="7.9373381653034522E-2"/>
  </r>
  <r>
    <x v="1"/>
    <n v="46"/>
    <n v="17.88"/>
    <n v="13.26"/>
    <n v="2.5108739460844916E-2"/>
    <n v="0.14982384836286161"/>
  </r>
  <r>
    <x v="1"/>
    <n v="47"/>
    <n v="14.15"/>
    <n v="12.33"/>
    <n v="1.5725438377084559E-2"/>
    <n v="8.7252594835253675E-2"/>
  </r>
  <r>
    <x v="1"/>
    <n v="48"/>
    <n v="22.75"/>
    <n v="14.22"/>
    <n v="4.0649263694339181E-2"/>
    <n v="0.26011463838007642"/>
  </r>
  <r>
    <x v="1"/>
    <n v="49"/>
    <n v="28.4"/>
    <n v="15.11"/>
    <n v="6.334707426698459E-2"/>
    <n v="0.43072843147836171"/>
  </r>
  <r>
    <x v="1"/>
    <n v="50"/>
    <n v="14.85"/>
    <n v="12.52"/>
    <n v="1.7319796648781378E-2"/>
    <n v="9.7579734319234279E-2"/>
  </r>
  <r>
    <x v="1"/>
    <n v="51"/>
    <n v="23.15"/>
    <n v="14.29"/>
    <n v="4.2091254722336893E-2"/>
    <n v="0.27066781349198737"/>
  </r>
  <r>
    <x v="1"/>
    <n v="52"/>
    <n v="23.08"/>
    <n v="14.28"/>
    <n v="4.1837092022679843E-2"/>
    <n v="0.26884515333774067"/>
  </r>
  <r>
    <x v="1"/>
    <n v="53"/>
    <n v="21.33"/>
    <n v="13.96"/>
    <n v="3.5733173846295721E-2"/>
    <n v="0.22447579810242974"/>
  </r>
  <r>
    <x v="1"/>
    <n v="54"/>
    <n v="15.97"/>
    <n v="12.81"/>
    <n v="2.0030865445123228E-2"/>
    <n v="0.11546792385841285"/>
  </r>
  <r>
    <x v="1"/>
    <n v="55"/>
    <n v="19.52"/>
    <n v="13.61"/>
    <n v="2.9926057635859506E-2"/>
    <n v="0.18328213999082155"/>
  </r>
  <r>
    <x v="1"/>
    <n v="56"/>
    <n v="18.88"/>
    <n v="13.48"/>
    <n v="2.7995863109493934E-2"/>
    <n v="0.16982290562219021"/>
  </r>
  <r>
    <x v="1"/>
    <n v="57"/>
    <n v="22.25"/>
    <n v="14.13"/>
    <n v="3.8882117826694922E-2"/>
    <n v="0.24723194620103969"/>
  </r>
  <r>
    <x v="1"/>
    <n v="58"/>
    <n v="18.510000000000002"/>
    <n v="13.4"/>
    <n v="2.6909319728305008E-2"/>
    <n v="0.16226319796167921"/>
  </r>
  <r>
    <x v="1"/>
    <n v="59"/>
    <n v="23.91"/>
    <n v="14.42"/>
    <n v="4.4900278377617675E-2"/>
    <n v="0.29135790639236109"/>
  </r>
  <r>
    <x v="1"/>
    <n v="60"/>
    <n v="18.5"/>
    <n v="13.4"/>
    <n v="2.6880252142277669E-2"/>
    <n v="0.16208792041793435"/>
  </r>
  <r>
    <x v="1"/>
    <n v="61"/>
    <n v="24.21"/>
    <n v="14.47"/>
    <n v="4.6034079166298231E-2"/>
    <n v="0.29975090649135094"/>
  </r>
  <r>
    <x v="1"/>
    <n v="62"/>
    <n v="15.8"/>
    <n v="12.77"/>
    <n v="1.9606679751053901E-2"/>
    <n v="0.11266978518943123"/>
  </r>
  <r>
    <x v="1"/>
    <n v="63"/>
    <n v="14.96"/>
    <n v="12.55"/>
    <n v="1.757733656054104E-2"/>
    <n v="9.9268008225655527E-2"/>
  </r>
  <r>
    <x v="1"/>
    <n v="64"/>
    <n v="32.96"/>
    <n v="15.71"/>
    <n v="8.5322640542551328E-2"/>
    <n v="0.60318840731556667"/>
  </r>
  <r>
    <x v="1"/>
    <n v="65"/>
    <n v="18.329999999999998"/>
    <n v="13.36"/>
    <n v="2.6388506498192885E-2"/>
    <n v="0.15864770106713563"/>
  </r>
  <r>
    <x v="1"/>
    <n v="66"/>
    <n v="21.19"/>
    <n v="13.94"/>
    <n v="3.5265642027588501E-2"/>
    <n v="0.22122137243906267"/>
  </r>
  <r>
    <x v="1"/>
    <n v="67"/>
    <n v="22.55"/>
    <n v="14.19"/>
    <n v="3.9937692958301095E-2"/>
    <n v="0.25502213838523163"/>
  </r>
  <r>
    <x v="1"/>
    <n v="68"/>
    <n v="18.059999999999999"/>
    <n v="13.3"/>
    <n v="2.5616829240709994E-2"/>
    <n v="0.15331672300564933"/>
  </r>
  <r>
    <x v="1"/>
    <n v="69"/>
    <n v="22.07"/>
    <n v="14.1"/>
    <n v="3.8255558587862976E-2"/>
    <n v="0.24273151923999056"/>
  </r>
  <r>
    <x v="1"/>
    <n v="70"/>
    <n v="21.48"/>
    <n v="13.99"/>
    <n v="3.6237517276921406E-2"/>
    <n v="0.22813329001685873"/>
  </r>
  <r>
    <x v="1"/>
    <n v="71"/>
    <n v="19.14"/>
    <n v="13.53"/>
    <n v="2.8772244901975587E-2"/>
    <n v="0.17517981308567837"/>
  </r>
  <r>
    <x v="1"/>
    <n v="72"/>
    <n v="20.260000000000002"/>
    <n v="13.76"/>
    <n v="3.2238049917415849E-2"/>
    <n v="0.19961800508863894"/>
  </r>
  <r>
    <x v="1"/>
    <n v="73"/>
    <n v="19.86"/>
    <n v="13.68"/>
    <n v="3.0977642944795623E-2"/>
    <n v="0.19069836996816186"/>
  </r>
  <r>
    <x v="1"/>
    <n v="74"/>
    <n v="28.51"/>
    <n v="15.13"/>
    <n v="6.3838741371253033E-2"/>
    <n v="0.43464607062617627"/>
  </r>
  <r>
    <x v="1"/>
    <n v="75"/>
    <n v="17.03"/>
    <n v="13.07"/>
    <n v="2.2778188220687501E-2"/>
    <n v="0.13396991401997355"/>
  </r>
  <r>
    <x v="1"/>
    <n v="76"/>
    <n v="15.62"/>
    <n v="12.72"/>
    <n v="1.9162489965762836E-2"/>
    <n v="0.10968609256402648"/>
  </r>
  <r>
    <x v="1"/>
    <n v="77"/>
    <n v="20.149999999999999"/>
    <n v="13.74"/>
    <n v="3.188893257980404E-2"/>
    <n v="0.19716927014092839"/>
  </r>
  <r>
    <x v="1"/>
    <n v="78"/>
    <n v="21.24"/>
    <n v="13.95"/>
    <n v="3.543226424795326E-2"/>
    <n v="0.22242603881652656"/>
  </r>
  <r>
    <x v="1"/>
    <n v="79"/>
    <n v="21.75"/>
    <n v="14.04"/>
    <n v="3.7154241867220536E-2"/>
    <n v="0.23474050011709935"/>
  </r>
  <r>
    <x v="1"/>
    <n v="80"/>
    <n v="18.170000000000002"/>
    <n v="13.32"/>
    <n v="2.5929833970768788E-2"/>
    <n v="0.15542342482078814"/>
  </r>
  <r>
    <x v="1"/>
    <n v="81"/>
    <n v="15.75"/>
    <n v="12.75"/>
    <n v="1.9482783190777953E-2"/>
    <n v="0.1117824685570885"/>
  </r>
  <r>
    <x v="1"/>
    <n v="82"/>
    <n v="25.05"/>
    <n v="14.61"/>
    <n v="4.928393110273073E-2"/>
    <n v="0.32401720503490317"/>
  </r>
  <r>
    <x v="1"/>
    <n v="83"/>
    <n v="18.600000000000001"/>
    <n v="13.42"/>
    <n v="2.717163486089812E-2"/>
    <n v="0.16408950292496374"/>
  </r>
  <r>
    <x v="1"/>
    <n v="84"/>
    <n v="16.54"/>
    <n v="12.95"/>
    <n v="2.1486263219770135E-2"/>
    <n v="0.12521119891321045"/>
  </r>
  <r>
    <x v="1"/>
    <n v="85"/>
    <n v="19.05"/>
    <n v="13.51"/>
    <n v="2.8502295699234247E-2"/>
    <n v="0.1732797067034946"/>
  </r>
  <r>
    <x v="1"/>
    <n v="86"/>
    <n v="19.21"/>
    <n v="13.55"/>
    <n v="2.8983085038939635E-2"/>
    <n v="0.17672436102493444"/>
  </r>
  <r>
    <x v="1"/>
    <n v="87"/>
    <n v="24.44"/>
    <n v="14.51"/>
    <n v="4.6912900441231815E-2"/>
    <n v="0.30631778343102317"/>
  </r>
  <r>
    <x v="1"/>
    <n v="88"/>
    <n v="20.34"/>
    <n v="13.77"/>
    <n v="3.2493147240887331E-2"/>
    <n v="0.20134378687815835"/>
  </r>
  <r>
    <x v="1"/>
    <n v="89"/>
    <n v="23.02"/>
    <n v="14.27"/>
    <n v="4.1619850890684117E-2"/>
    <n v="0.26726187249452804"/>
  </r>
  <r>
    <x v="1"/>
    <n v="90"/>
    <n v="18"/>
    <n v="13.29"/>
    <n v="2.5446900494077322E-2"/>
    <n v="0.15218518840482942"/>
  </r>
  <r>
    <x v="1"/>
    <n v="91"/>
    <n v="20.86"/>
    <n v="13.88"/>
    <n v="3.4175784266150026E-2"/>
    <n v="0.21346194852637307"/>
  </r>
  <r>
    <x v="1"/>
    <n v="92"/>
    <n v="18.7"/>
    <n v="13.44"/>
    <n v="2.746458837584537E-2"/>
    <n v="0.16610583049711281"/>
  </r>
  <r>
    <x v="1"/>
    <n v="93"/>
    <n v="20.38"/>
    <n v="13.78"/>
    <n v="3.2621072893741505E-2"/>
    <n v="0.20228327301409108"/>
  </r>
  <r>
    <x v="1"/>
    <n v="94"/>
    <n v="16.420000000000002"/>
    <n v="12.92"/>
    <n v="2.1175622538183184E-2"/>
    <n v="0.12311506943699703"/>
  </r>
  <r>
    <x v="1"/>
    <n v="95"/>
    <n v="14.76"/>
    <n v="12.49"/>
    <n v="1.7110495892217591E-2"/>
    <n v="9.6169542162208979E-2"/>
  </r>
  <r>
    <x v="1"/>
    <n v="96"/>
    <n v="27.99"/>
    <n v="15.05"/>
    <n v="6.1531241567191315E-2"/>
    <n v="0.41672033351380322"/>
  </r>
  <r>
    <x v="1"/>
    <n v="97"/>
    <n v="22.4"/>
    <n v="14.16"/>
    <n v="3.9408138246630357E-2"/>
    <n v="0.25110865690752865"/>
  </r>
  <r>
    <x v="1"/>
    <n v="98"/>
    <n v="14.99"/>
    <n v="12.56"/>
    <n v="1.7647904585522296E-2"/>
    <n v="9.974595671737202E-2"/>
  </r>
  <r>
    <x v="1"/>
    <n v="99"/>
    <n v="17.559999999999999"/>
    <n v="13.19"/>
    <n v="2.4218035111699138E-2"/>
    <n v="0.14374614740549024"/>
  </r>
  <r>
    <x v="1"/>
    <n v="100"/>
    <n v="15.26"/>
    <n v="12.63"/>
    <n v="1.8289378535477161E-2"/>
    <n v="0.10394768290638445"/>
  </r>
  <r>
    <x v="2"/>
    <n v="1"/>
    <n v="28.8"/>
    <n v="17.05"/>
    <n v="6.5144065264837958E-2"/>
    <n v="0.49981784074446928"/>
  </r>
  <r>
    <x v="2"/>
    <n v="2"/>
    <n v="25.25"/>
    <n v="16.45"/>
    <n v="5.0074041655108564E-2"/>
    <n v="0.37067309335194115"/>
  </r>
  <r>
    <x v="2"/>
    <n v="3"/>
    <n v="18.940000000000001"/>
    <n v="15.16"/>
    <n v="2.8174085660732089E-2"/>
    <n v="0.19220361237751432"/>
  </r>
  <r>
    <x v="2"/>
    <n v="4"/>
    <n v="22.17"/>
    <n v="15.87"/>
    <n v="3.8603018735350013E-2"/>
    <n v="0.2756834582985021"/>
  </r>
  <r>
    <x v="2"/>
    <n v="5"/>
    <n v="18.34"/>
    <n v="15.02"/>
    <n v="2.6417307048844672E-2"/>
    <n v="0.17855457834314115"/>
  </r>
  <r>
    <x v="2"/>
    <n v="6"/>
    <n v="18.100000000000001"/>
    <n v="14.96"/>
    <n v="2.5730429231063806E-2"/>
    <n v="0.17321724958352155"/>
  </r>
  <r>
    <x v="2"/>
    <n v="7"/>
    <n v="16.850000000000001"/>
    <n v="14.64"/>
    <n v="2.2299221004721207E-2"/>
    <n v="0.14690726797910333"/>
  </r>
  <r>
    <x v="2"/>
    <n v="8"/>
    <n v="17.62"/>
    <n v="14.84"/>
    <n v="2.4383816956029074E-2"/>
    <n v="0.16283512963236216"/>
  </r>
  <r>
    <x v="2"/>
    <n v="9"/>
    <n v="26.6"/>
    <n v="16.690000000000001"/>
    <n v="5.5571632449349852E-2"/>
    <n v="0.41737074551084208"/>
  </r>
  <r>
    <x v="2"/>
    <n v="10"/>
    <n v="19.78"/>
    <n v="15.36"/>
    <n v="3.0728577479219026E-2"/>
    <n v="0.21239592753636191"/>
  </r>
  <r>
    <x v="2"/>
    <n v="11"/>
    <n v="20.48"/>
    <n v="15.51"/>
    <n v="3.2941986583305709E-2"/>
    <n v="0.22991859535818221"/>
  </r>
  <r>
    <x v="2"/>
    <n v="12"/>
    <n v="20.97"/>
    <n v="15.62"/>
    <n v="3.4537169523074097E-2"/>
    <n v="0.24276176457768781"/>
  </r>
  <r>
    <x v="2"/>
    <n v="13"/>
    <n v="24.93"/>
    <n v="16.399999999999999"/>
    <n v="4.8812880700251478E-2"/>
    <n v="0.3602390595678559"/>
  </r>
  <r>
    <x v="2"/>
    <n v="14"/>
    <n v="17.940000000000001"/>
    <n v="14.92"/>
    <n v="2.5277537234122301E-2"/>
    <n v="0.16971338498989713"/>
  </r>
  <r>
    <x v="2"/>
    <n v="15"/>
    <n v="16.03"/>
    <n v="14.41"/>
    <n v="2.0181661892495539E-2"/>
    <n v="0.13086798654188733"/>
  </r>
  <r>
    <x v="2"/>
    <n v="16"/>
    <n v="26.7"/>
    <n v="16.71"/>
    <n v="5.5990249670440688E-2"/>
    <n v="0.42101868239687879"/>
  </r>
  <r>
    <x v="2"/>
    <n v="17"/>
    <n v="18.239999999999998"/>
    <n v="14.99"/>
    <n v="2.6130008400673886E-2"/>
    <n v="0.1762599716667457"/>
  </r>
  <r>
    <x v="2"/>
    <n v="18"/>
    <n v="17.11"/>
    <n v="14.71"/>
    <n v="2.2992696167074611E-2"/>
    <n v="0.15220015227795039"/>
  </r>
  <r>
    <x v="2"/>
    <n v="19"/>
    <n v="15.05"/>
    <n v="14.13"/>
    <n v="1.7789464750493054E-2"/>
    <n v="0.1131143116160101"/>
  </r>
  <r>
    <x v="2"/>
    <n v="20"/>
    <n v="14.86"/>
    <n v="14.07"/>
    <n v="1.7343130828215918E-2"/>
    <n v="0.10980803283884909"/>
  </r>
  <r>
    <x v="2"/>
    <n v="21"/>
    <n v="17.7"/>
    <n v="14.86"/>
    <n v="2.4605739061078654E-2"/>
    <n v="0.16453857710143296"/>
  </r>
  <r>
    <x v="2"/>
    <n v="22"/>
    <n v="22.47"/>
    <n v="15.93"/>
    <n v="3.9654823955771863E-2"/>
    <n v="0.28426560552695063"/>
  </r>
  <r>
    <x v="2"/>
    <n v="23"/>
    <n v="24.44"/>
    <n v="16.309999999999999"/>
    <n v="4.6912900441231815E-2"/>
    <n v="0.34431723278842091"/>
  </r>
  <r>
    <x v="2"/>
    <n v="24"/>
    <n v="22.83"/>
    <n v="16"/>
    <n v="4.0935651280640431E-2"/>
    <n v="0.29473668922061114"/>
  </r>
  <r>
    <x v="2"/>
    <n v="25"/>
    <n v="18.55"/>
    <n v="15.07"/>
    <n v="2.7025747152047044E-2"/>
    <n v="0.18327510431160704"/>
  </r>
  <r>
    <x v="2"/>
    <n v="26"/>
    <n v="20.239999999999998"/>
    <n v="15.46"/>
    <n v="3.2174432666180641E-2"/>
    <n v="0.22383752805861873"/>
  </r>
  <r>
    <x v="2"/>
    <n v="27"/>
    <n v="17.18"/>
    <n v="14.73"/>
    <n v="2.3181215288234903E-2"/>
    <n v="0.15365668553806505"/>
  </r>
  <r>
    <x v="2"/>
    <n v="28"/>
    <n v="17.13"/>
    <n v="14.71"/>
    <n v="2.3046480233304068E-2"/>
    <n v="0.15255617590435627"/>
  </r>
  <r>
    <x v="2"/>
    <n v="29"/>
    <n v="23.54"/>
    <n v="16.14"/>
    <n v="4.3521394092048936E-2"/>
    <n v="0.31609588529055144"/>
  </r>
  <r>
    <x v="2"/>
    <n v="30"/>
    <n v="15.94"/>
    <n v="14.39"/>
    <n v="1.9955679278941187E-2"/>
    <n v="0.12922300117078367"/>
  </r>
  <r>
    <x v="2"/>
    <n v="31"/>
    <n v="27.82"/>
    <n v="16.89"/>
    <n v="6.0786079351704721E-2"/>
    <n v="0.46200459611263178"/>
  </r>
  <r>
    <x v="2"/>
    <n v="32"/>
    <n v="19.64"/>
    <n v="15.33"/>
    <n v="3.0295131940803237E-2"/>
    <n v="0.20899096769363112"/>
  </r>
  <r>
    <x v="2"/>
    <n v="33"/>
    <n v="20.86"/>
    <n v="15.6"/>
    <n v="3.4175784266150026E-2"/>
    <n v="0.23991400554837319"/>
  </r>
  <r>
    <x v="2"/>
    <n v="34"/>
    <n v="17.05"/>
    <n v="14.69"/>
    <n v="2.2831720959504673E-2"/>
    <n v="0.15092909140280564"/>
  </r>
  <r>
    <x v="2"/>
    <n v="35"/>
    <n v="17.7"/>
    <n v="14.86"/>
    <n v="2.4605739061078654E-2"/>
    <n v="0.16453857710143296"/>
  </r>
  <r>
    <x v="2"/>
    <n v="36"/>
    <n v="14.73"/>
    <n v="14.03"/>
    <n v="1.7041011716701821E-2"/>
    <n v="0.10758842747339693"/>
  </r>
  <r>
    <x v="2"/>
    <n v="37"/>
    <n v="19.27"/>
    <n v="15.24"/>
    <n v="2.9164417766904829E-2"/>
    <n v="0.20000957704543335"/>
  </r>
  <r>
    <x v="2"/>
    <n v="38"/>
    <n v="21.68"/>
    <n v="15.77"/>
    <n v="3.6915472971566075E-2"/>
    <n v="0.26197065394271868"/>
  </r>
  <r>
    <x v="2"/>
    <n v="39"/>
    <n v="21.3"/>
    <n v="15.69"/>
    <n v="3.563272927517884E-2"/>
    <n v="0.25158488504740023"/>
  </r>
  <r>
    <x v="2"/>
    <n v="40"/>
    <n v="16.87"/>
    <n v="14.64"/>
    <n v="2.2352188256860733E-2"/>
    <n v="0.14725621623619853"/>
  </r>
  <r>
    <x v="2"/>
    <n v="41"/>
    <n v="16.850000000000001"/>
    <n v="14.64"/>
    <n v="2.2299221004721207E-2"/>
    <n v="0.14690726797910333"/>
  </r>
  <r>
    <x v="2"/>
    <n v="42"/>
    <n v="17.989999999999998"/>
    <n v="14.93"/>
    <n v="2.5418634014176645E-2"/>
    <n v="0.17077509262424578"/>
  </r>
  <r>
    <x v="2"/>
    <n v="43"/>
    <n v="25.98"/>
    <n v="16.579999999999998"/>
    <n v="5.3011265852600707E-2"/>
    <n v="0.39551705452625385"/>
  </r>
  <r>
    <x v="2"/>
    <n v="44"/>
    <n v="15.45"/>
    <n v="14.25"/>
    <n v="1.874765050983794E-2"/>
    <n v="0.1202193088943358"/>
  </r>
  <r>
    <x v="2"/>
    <n v="45"/>
    <n v="19.28"/>
    <n v="15.24"/>
    <n v="2.9194694866103803E-2"/>
    <n v="0.20021721739173989"/>
  </r>
  <r>
    <x v="2"/>
    <n v="46"/>
    <n v="27.61"/>
    <n v="16.86"/>
    <n v="5.9871852327565193E-2"/>
    <n v="0.45424774360923714"/>
  </r>
  <r>
    <x v="2"/>
    <n v="47"/>
    <n v="19.600000000000001"/>
    <n v="15.32"/>
    <n v="3.0171855845076378E-2"/>
    <n v="0.20800477419595656"/>
  </r>
  <r>
    <x v="2"/>
    <n v="48"/>
    <n v="14.56"/>
    <n v="13.98"/>
    <n v="1.6649938409201332E-2"/>
    <n v="0.1047447625322856"/>
  </r>
  <r>
    <x v="2"/>
    <n v="49"/>
    <n v="17.34"/>
    <n v="14.77"/>
    <n v="2.3615006401842577E-2"/>
    <n v="0.15695714004984668"/>
  </r>
  <r>
    <x v="2"/>
    <n v="50"/>
    <n v="21.94"/>
    <n v="15.82"/>
    <n v="3.7806208736638397E-2"/>
    <n v="0.26914239999612877"/>
  </r>
  <r>
    <x v="2"/>
    <n v="51"/>
    <n v="18.5"/>
    <n v="15.06"/>
    <n v="2.6880252142277669E-2"/>
    <n v="0.18216746876821577"/>
  </r>
  <r>
    <x v="2"/>
    <n v="52"/>
    <n v="17.75"/>
    <n v="14.87"/>
    <n v="2.4744950885540854E-2"/>
    <n v="0.16558083885059663"/>
  </r>
  <r>
    <x v="2"/>
    <n v="53"/>
    <n v="18.62"/>
    <n v="15.09"/>
    <n v="2.7230099900181427E-2"/>
    <n v="0.184905993372182"/>
  </r>
  <r>
    <x v="2"/>
    <n v="54"/>
    <n v="20.36"/>
    <n v="15.49"/>
    <n v="3.2557078651387884E-2"/>
    <n v="0.22693911673949924"/>
  </r>
  <r>
    <x v="2"/>
    <n v="55"/>
    <n v="26.39"/>
    <n v="16.649999999999999"/>
    <n v="5.469764922710281E-2"/>
    <n v="0.40982213683406776"/>
  </r>
  <r>
    <x v="2"/>
    <n v="56"/>
    <n v="19.649999999999999"/>
    <n v="15.33"/>
    <n v="3.0325990234643121E-2"/>
    <n v="0.20920384363368558"/>
  </r>
  <r>
    <x v="2"/>
    <n v="57"/>
    <n v="24.32"/>
    <n v="16.29"/>
    <n v="4.6453348267864694E-2"/>
    <n v="0.34052626947758213"/>
  </r>
  <r>
    <x v="2"/>
    <n v="58"/>
    <n v="22.52"/>
    <n v="15.94"/>
    <n v="3.9831499272628121E-2"/>
    <n v="0.28571134428256151"/>
  </r>
  <r>
    <x v="2"/>
    <n v="59"/>
    <n v="19.55"/>
    <n v="15.3"/>
    <n v="3.0018114154591324E-2"/>
    <n v="0.20667471595436127"/>
  </r>
  <r>
    <x v="2"/>
    <n v="60"/>
    <n v="13.87"/>
    <n v="13.76"/>
    <n v="1.5109246394009455E-2"/>
    <n v="9.3556453671706549E-2"/>
  </r>
  <r>
    <x v="2"/>
    <n v="61"/>
    <n v="17.920000000000002"/>
    <n v="14.91"/>
    <n v="2.5221208477843437E-2"/>
    <n v="0.16922169828209055"/>
  </r>
  <r>
    <x v="2"/>
    <n v="62"/>
    <n v="18.04"/>
    <n v="14.94"/>
    <n v="2.55601234933127E-2"/>
    <n v="0.17184071024554129"/>
  </r>
  <r>
    <x v="2"/>
    <n v="63"/>
    <n v="20.190000000000001"/>
    <n v="15.45"/>
    <n v="3.2015664427449859E-2"/>
    <n v="0.22258890693184513"/>
  </r>
  <r>
    <x v="2"/>
    <n v="64"/>
    <n v="25.2"/>
    <n v="16.45"/>
    <n v="4.987592496839155E-2"/>
    <n v="0.36920653457851843"/>
  </r>
  <r>
    <x v="2"/>
    <n v="65"/>
    <n v="29.17"/>
    <n v="17.100000000000001"/>
    <n v="6.6828657931527521E-2"/>
    <n v="0.51424652278310434"/>
  </r>
  <r>
    <x v="2"/>
    <n v="66"/>
    <n v="26.19"/>
    <n v="16.62"/>
    <n v="5.3871724518474051E-2"/>
    <n v="0.40290662767366747"/>
  </r>
  <r>
    <x v="2"/>
    <n v="67"/>
    <n v="19.47"/>
    <n v="15.29"/>
    <n v="2.9772944263905168E-2"/>
    <n v="0.20485274300779949"/>
  </r>
  <r>
    <x v="2"/>
    <n v="68"/>
    <n v="12.97"/>
    <n v="13.46"/>
    <n v="1.3212038590506583E-2"/>
    <n v="8.0025317742698387E-2"/>
  </r>
  <r>
    <x v="2"/>
    <n v="69"/>
    <n v="18.440000000000001"/>
    <n v="15.04"/>
    <n v="2.6706176493342258E-2"/>
    <n v="0.18074740250694038"/>
  </r>
  <r>
    <x v="2"/>
    <n v="70"/>
    <n v="20.36"/>
    <n v="15.49"/>
    <n v="3.2557078651387884E-2"/>
    <n v="0.22693911673949924"/>
  </r>
  <r>
    <x v="2"/>
    <n v="71"/>
    <n v="23.38"/>
    <n v="16.11"/>
    <n v="4.2931779982823208E-2"/>
    <n v="0.31123393898547685"/>
  </r>
  <r>
    <x v="2"/>
    <n v="72"/>
    <n v="23.85"/>
    <n v="16.2"/>
    <n v="4.4675214679914511E-2"/>
    <n v="0.3256823150165768"/>
  </r>
  <r>
    <x v="2"/>
    <n v="73"/>
    <n v="22.74"/>
    <n v="15.98"/>
    <n v="4.0613535931886227E-2"/>
    <n v="0.29205193688619391"/>
  </r>
  <r>
    <x v="2"/>
    <n v="74"/>
    <n v="14.42"/>
    <n v="13.94"/>
    <n v="1.6331286666347717E-2"/>
    <n v="0.10244616125799923"/>
  </r>
  <r>
    <x v="2"/>
    <n v="75"/>
    <n v="23.4"/>
    <n v="16.11"/>
    <n v="4.300526183499067E-2"/>
    <n v="0.31176664567276485"/>
  </r>
  <r>
    <x v="2"/>
    <n v="76"/>
    <n v="18.21"/>
    <n v="14.99"/>
    <n v="2.6044125111506378E-2"/>
    <n v="0.17568064593966626"/>
  </r>
  <r>
    <x v="2"/>
    <n v="77"/>
    <n v="20.7"/>
    <n v="15.56"/>
    <n v="3.3653525903417254E-2"/>
    <n v="0.23564198837572764"/>
  </r>
  <r>
    <x v="2"/>
    <n v="78"/>
    <n v="20.3"/>
    <n v="15.47"/>
    <n v="3.2365472915445455E-2"/>
    <n v="0.22531223970087355"/>
  </r>
  <r>
    <x v="2"/>
    <n v="79"/>
    <n v="21.71"/>
    <n v="15.78"/>
    <n v="3.701770825049553E-2"/>
    <n v="0.26286274628676876"/>
  </r>
  <r>
    <x v="2"/>
    <n v="80"/>
    <n v="20.100000000000001"/>
    <n v="15.43"/>
    <n v="3.1730871199420314E-2"/>
    <n v="0.22032330417317497"/>
  </r>
  <r>
    <x v="2"/>
    <n v="81"/>
    <n v="13.33"/>
    <n v="13.58"/>
    <n v="1.3955653571611285E-2"/>
    <n v="8.5282998976116561E-2"/>
  </r>
  <r>
    <x v="2"/>
    <n v="82"/>
    <n v="22.95"/>
    <n v="16.03"/>
    <n v="4.136711761568445E-2"/>
    <n v="0.29840170292073981"/>
  </r>
  <r>
    <x v="2"/>
    <n v="83"/>
    <n v="21.54"/>
    <n v="15.74"/>
    <n v="3.6440244250857547E-2"/>
    <n v="0.25810625002882404"/>
  </r>
  <r>
    <x v="2"/>
    <n v="84"/>
    <n v="18.940000000000001"/>
    <n v="15.16"/>
    <n v="2.8174085660732089E-2"/>
    <n v="0.19220361237751432"/>
  </r>
  <r>
    <x v="2"/>
    <n v="85"/>
    <n v="20.47"/>
    <n v="15.51"/>
    <n v="3.2909824528514577E-2"/>
    <n v="0.22969412029676747"/>
  </r>
  <r>
    <x v="2"/>
    <n v="86"/>
    <n v="20.54"/>
    <n v="15.53"/>
    <n v="3.3135288779281083E-2"/>
    <n v="0.23156596563400586"/>
  </r>
  <r>
    <x v="2"/>
    <n v="87"/>
    <n v="20.88"/>
    <n v="15.6"/>
    <n v="3.4241349304830443E-2"/>
    <n v="0.24037427211990972"/>
  </r>
  <r>
    <x v="2"/>
    <n v="88"/>
    <n v="26.56"/>
    <n v="16.68"/>
    <n v="5.5404625383885013E-2"/>
    <n v="0.41586711813144089"/>
  </r>
  <r>
    <x v="2"/>
    <n v="89"/>
    <n v="19.12"/>
    <n v="15.21"/>
    <n v="2.8712146234512414E-2"/>
    <n v="0.19652028490212023"/>
  </r>
  <r>
    <x v="2"/>
    <n v="90"/>
    <n v="20.67"/>
    <n v="15.56"/>
    <n v="3.3556050137358004E-2"/>
    <n v="0.23495946306178078"/>
  </r>
  <r>
    <x v="2"/>
    <n v="91"/>
    <n v="24.67"/>
    <n v="16.350000000000001"/>
    <n v="4.7800031228734136E-2"/>
    <n v="0.35168872976541143"/>
  </r>
  <r>
    <x v="2"/>
    <n v="92"/>
    <n v="24.22"/>
    <n v="16.27"/>
    <n v="4.6072115999351564E-2"/>
    <n v="0.33731699728925246"/>
  </r>
  <r>
    <x v="2"/>
    <n v="93"/>
    <n v="24.58"/>
    <n v="16.329999999999998"/>
    <n v="4.7451903492808201E-2"/>
    <n v="0.348700312816901"/>
  </r>
  <r>
    <x v="2"/>
    <n v="94"/>
    <n v="17.690000000000001"/>
    <n v="14.86"/>
    <n v="2.4577943820076026E-2"/>
    <n v="0.16435271032484838"/>
  </r>
  <r>
    <x v="2"/>
    <n v="95"/>
    <n v="28.01"/>
    <n v="16.920000000000002"/>
    <n v="6.1619206161491843E-2"/>
    <n v="0.46916863571359896"/>
  </r>
  <r>
    <x v="2"/>
    <n v="96"/>
    <n v="20.27"/>
    <n v="15.47"/>
    <n v="3.2269882104978345E-2"/>
    <n v="0.22464678427380674"/>
  </r>
  <r>
    <x v="2"/>
    <n v="97"/>
    <n v="27.47"/>
    <n v="16.829999999999998"/>
    <n v="5.9266216095806144E-2"/>
    <n v="0.44885268760158781"/>
  </r>
  <r>
    <x v="2"/>
    <n v="98"/>
    <n v="14.6"/>
    <n v="13.99"/>
    <n v="1.6741547250980007E-2"/>
    <n v="0.10539641071854464"/>
  </r>
  <r>
    <x v="2"/>
    <n v="99"/>
    <n v="20.079999999999998"/>
    <n v="15.43"/>
    <n v="3.1667756603009682E-2"/>
    <n v="0.21988506797299773"/>
  </r>
  <r>
    <x v="2"/>
    <n v="100"/>
    <n v="25"/>
    <n v="16.41"/>
    <n v="4.9087385212340517E-2"/>
    <n v="0.36248579610052856"/>
  </r>
  <r>
    <x v="3"/>
    <n v="1"/>
    <n v="17.14"/>
    <n v="15.74"/>
    <n v="2.3073395828363701E-2"/>
    <n v="0.16342886265230011"/>
  </r>
  <r>
    <x v="3"/>
    <n v="2"/>
    <n v="16.989999999999998"/>
    <n v="15.7"/>
    <n v="2.2671311238612372E-2"/>
    <n v="0.16017281390079641"/>
  </r>
  <r>
    <x v="3"/>
    <n v="3"/>
    <n v="16.25"/>
    <n v="15.48"/>
    <n v="2.0739420252213869E-2"/>
    <n v="0.14447080147692182"/>
  </r>
  <r>
    <x v="3"/>
    <n v="4"/>
    <n v="15.79"/>
    <n v="15.35"/>
    <n v="1.9581869023072174E-2"/>
    <n v="0.13526176027687103"/>
  </r>
  <r>
    <x v="3"/>
    <n v="5"/>
    <n v="18.25"/>
    <n v="16.04"/>
    <n v="2.6158667579656264E-2"/>
    <n v="0.1888132625899589"/>
  </r>
  <r>
    <x v="3"/>
    <n v="6"/>
    <n v="21.32"/>
    <n v="16.79"/>
    <n v="3.5699676614626828E-2"/>
    <n v="0.26972890666181298"/>
  </r>
  <r>
    <x v="3"/>
    <n v="7"/>
    <n v="11.94"/>
    <n v="14"/>
    <n v="1.1196918960732844E-2"/>
    <n v="7.0540589452616917E-2"/>
  </r>
  <r>
    <x v="3"/>
    <n v="8"/>
    <n v="20.85"/>
    <n v="16.68"/>
    <n v="3.4143025308754731E-2"/>
    <n v="0.25627754796751301"/>
  </r>
  <r>
    <x v="3"/>
    <n v="9"/>
    <n v="24.95"/>
    <n v="17.54"/>
    <n v="4.8891232021032002E-2"/>
    <n v="0.38589849434200563"/>
  </r>
  <r>
    <x v="3"/>
    <n v="10"/>
    <n v="28.15"/>
    <n v="18.12"/>
    <n v="6.2236717613481436E-2"/>
    <n v="0.50747819542032768"/>
  </r>
  <r>
    <x v="3"/>
    <n v="11"/>
    <n v="25.2"/>
    <n v="17.59"/>
    <n v="4.987592496839155E-2"/>
    <n v="0.39479288408730329"/>
  </r>
  <r>
    <x v="3"/>
    <n v="12"/>
    <n v="23.03"/>
    <n v="17.16"/>
    <n v="4.1656018476108565E-2"/>
    <n v="0.32166777467251034"/>
  </r>
  <r>
    <x v="3"/>
    <n v="13"/>
    <n v="13.09"/>
    <n v="14.44"/>
    <n v="1.3457648304164229E-2"/>
    <n v="8.7447798680459168E-2"/>
  </r>
  <r>
    <x v="3"/>
    <n v="14"/>
    <n v="17.59"/>
    <n v="15.87"/>
    <n v="2.43008553480294E-2"/>
    <n v="0.17354455846795197"/>
  </r>
  <r>
    <x v="3"/>
    <n v="15"/>
    <n v="18.59"/>
    <n v="16.13"/>
    <n v="2.7142425903201369E-2"/>
    <n v="0.19701329841838713"/>
  </r>
  <r>
    <x v="3"/>
    <n v="16"/>
    <n v="22.81"/>
    <n v="17.11"/>
    <n v="4.0863960136285502E-2"/>
    <n v="0.31463206106933023"/>
  </r>
  <r>
    <x v="3"/>
    <n v="17"/>
    <n v="19.579999999999998"/>
    <n v="16.38"/>
    <n v="3.0110312044992541E-2"/>
    <n v="0.22194311008364001"/>
  </r>
  <r>
    <x v="3"/>
    <n v="18"/>
    <n v="14.97"/>
    <n v="15.09"/>
    <n v="1.7600843527571523E-2"/>
    <n v="0.11951852797397443"/>
  </r>
  <r>
    <x v="3"/>
    <n v="19"/>
    <n v="26.74"/>
    <n v="17.88"/>
    <n v="5.6158136381848522E-2"/>
    <n v="0.45184836532835321"/>
  </r>
  <r>
    <x v="3"/>
    <n v="20"/>
    <n v="23.65"/>
    <n v="17.29"/>
    <n v="4.3929086424686917E-2"/>
    <n v="0.34179025692727655"/>
  </r>
  <r>
    <x v="3"/>
    <n v="21"/>
    <n v="20.95"/>
    <n v="16.7"/>
    <n v="3.4471321741054849E-2"/>
    <n v="0.2590519828840272"/>
  </r>
  <r>
    <x v="3"/>
    <n v="22"/>
    <n v="24.87"/>
    <n v="17.53"/>
    <n v="4.8578203729028324E-2"/>
    <n v="0.38320916011643996"/>
  </r>
  <r>
    <x v="3"/>
    <n v="23"/>
    <n v="14.64"/>
    <n v="14.98"/>
    <n v="1.6833407420170973E-2"/>
    <n v="0.11347399941937254"/>
  </r>
  <r>
    <x v="3"/>
    <n v="24"/>
    <n v="22.64"/>
    <n v="17.079999999999998"/>
    <n v="4.0257122245336473E-2"/>
    <n v="0.30941624157765613"/>
  </r>
  <r>
    <x v="3"/>
    <n v="25"/>
    <n v="17.91"/>
    <n v="15.95"/>
    <n v="2.5193067661648902E-2"/>
    <n v="0.18082324314148499"/>
  </r>
  <r>
    <x v="3"/>
    <n v="26"/>
    <n v="22.73"/>
    <n v="17.100000000000001"/>
    <n v="4.0577823877396557E-2"/>
    <n v="0.31224635473656653"/>
  </r>
  <r>
    <x v="3"/>
    <n v="27"/>
    <n v="19.760000000000002"/>
    <n v="16.420000000000002"/>
    <n v="3.0666468192457559E-2"/>
    <n v="0.22659453347406894"/>
  </r>
  <r>
    <x v="3"/>
    <n v="28"/>
    <n v="22.53"/>
    <n v="17.05"/>
    <n v="3.9866881459889182E-2"/>
    <n v="0.30587864800099979"/>
  </r>
  <r>
    <x v="3"/>
    <n v="29"/>
    <n v="25.34"/>
    <n v="17.62"/>
    <n v="5.0431641292885056E-2"/>
    <n v="0.39987248381128565"/>
  </r>
  <r>
    <x v="3"/>
    <n v="30"/>
    <n v="20.03"/>
    <n v="16.489999999999998"/>
    <n v="3.1510245001340337E-2"/>
    <n v="0.23382177303244595"/>
  </r>
  <r>
    <x v="3"/>
    <n v="31"/>
    <n v="24.07"/>
    <n v="17.37"/>
    <n v="4.5503212839694628E-2"/>
    <n v="0.35567586316147309"/>
  </r>
  <r>
    <x v="3"/>
    <n v="32"/>
    <n v="15.25"/>
    <n v="15.18"/>
    <n v="1.8265416037511906E-2"/>
    <n v="0.12477105695224383"/>
  </r>
  <r>
    <x v="3"/>
    <n v="33"/>
    <n v="17.11"/>
    <n v="15.73"/>
    <n v="2.2992696167074611E-2"/>
    <n v="0.16275379981863766"/>
  </r>
  <r>
    <x v="3"/>
    <n v="34"/>
    <n v="26.08"/>
    <n v="17.760000000000002"/>
    <n v="5.3420144136465411E-2"/>
    <n v="0.42693379193863157"/>
  </r>
  <r>
    <x v="3"/>
    <n v="35"/>
    <n v="21.51"/>
    <n v="16.829999999999998"/>
    <n v="3.6338810078054777E-2"/>
    <n v="0.27521197812614784"/>
  </r>
  <r>
    <x v="3"/>
    <n v="36"/>
    <n v="11.79"/>
    <n v="13.94"/>
    <n v="1.0917356484471523E-2"/>
    <n v="6.8484577227089866E-2"/>
  </r>
  <r>
    <x v="3"/>
    <n v="37"/>
    <n v="14.54"/>
    <n v="14.95"/>
    <n v="1.6604228236091596E-2"/>
    <n v="0.11170494545830621"/>
  </r>
  <r>
    <x v="3"/>
    <n v="38"/>
    <n v="19.2"/>
    <n v="16.28"/>
    <n v="2.8952917895483536E-2"/>
    <n v="0.21210907650231239"/>
  </r>
  <r>
    <x v="3"/>
    <n v="39"/>
    <n v="23.46"/>
    <n v="17.25"/>
    <n v="4.322608438261151E-2"/>
    <n v="0.33554248002002185"/>
  </r>
  <r>
    <x v="3"/>
    <n v="40"/>
    <n v="19.59"/>
    <n v="16.38"/>
    <n v="3.0141076091052828E-2"/>
    <n v="0.2221698718671504"/>
  </r>
  <r>
    <x v="3"/>
    <n v="41"/>
    <n v="22.5"/>
    <n v="17.05"/>
    <n v="3.9760782021995816E-2"/>
    <n v="0.3050646000637629"/>
  </r>
  <r>
    <x v="3"/>
    <n v="42"/>
    <n v="23.84"/>
    <n v="17.32"/>
    <n v="4.4637759041502079E-2"/>
    <n v="0.34790669396946722"/>
  </r>
  <r>
    <x v="3"/>
    <n v="43"/>
    <n v="26.68"/>
    <n v="17.87"/>
    <n v="5.5906400562516376E-2"/>
    <n v="0.44957132012347545"/>
  </r>
  <r>
    <x v="3"/>
    <n v="44"/>
    <n v="20.22"/>
    <n v="16.53"/>
    <n v="3.2110878246798528E-2"/>
    <n v="0.23885676783881088"/>
  </r>
  <r>
    <x v="3"/>
    <n v="45"/>
    <n v="19.79"/>
    <n v="16.43"/>
    <n v="3.0759655684544657E-2"/>
    <n v="0.22742151430368093"/>
  </r>
  <r>
    <x v="3"/>
    <n v="46"/>
    <n v="12.99"/>
    <n v="14.41"/>
    <n v="1.3252816463150177E-2"/>
    <n v="8.5937888355297323E-2"/>
  </r>
  <r>
    <x v="3"/>
    <n v="47"/>
    <n v="20.399999999999999"/>
    <n v="16.579999999999998"/>
    <n v="3.2685129967948208E-2"/>
    <n v="0.24386375469086158"/>
  </r>
  <r>
    <x v="3"/>
    <n v="48"/>
    <n v="17.71"/>
    <n v="15.9"/>
    <n v="2.4633550010044563E-2"/>
    <n v="0.17625305032186883"/>
  </r>
  <r>
    <x v="3"/>
    <n v="49"/>
    <n v="16.100000000000001"/>
    <n v="15.44"/>
    <n v="2.035830579342526E-2"/>
    <n v="0.14144950865271871"/>
  </r>
  <r>
    <x v="3"/>
    <n v="50"/>
    <n v="19.28"/>
    <n v="16.3"/>
    <n v="2.9194694866103803E-2"/>
    <n v="0.21414308684287142"/>
  </r>
  <r>
    <x v="3"/>
    <n v="51"/>
    <n v="24.06"/>
    <n v="17.37"/>
    <n v="4.5465411626090295E-2"/>
    <n v="0.35538038997533483"/>
  </r>
  <r>
    <x v="3"/>
    <n v="52"/>
    <n v="12.03"/>
    <n v="14.04"/>
    <n v="1.1366352906522574E-2"/>
    <n v="7.1812617663409614E-2"/>
  </r>
  <r>
    <x v="3"/>
    <n v="53"/>
    <n v="18.29"/>
    <n v="16.05"/>
    <n v="2.6273461375218431E-2"/>
    <n v="0.18976007478251514"/>
  </r>
  <r>
    <x v="3"/>
    <n v="54"/>
    <n v="20.47"/>
    <n v="16.59"/>
    <n v="3.2909824528514577E-2"/>
    <n v="0.24568829501762557"/>
  </r>
  <r>
    <x v="3"/>
    <n v="55"/>
    <n v="16.43"/>
    <n v="15.54"/>
    <n v="2.1201422867850785E-2"/>
    <n v="0.14826155011488054"/>
  </r>
  <r>
    <x v="3"/>
    <n v="56"/>
    <n v="21.34"/>
    <n v="16.79"/>
    <n v="3.5766686785927905E-2"/>
    <n v="0.27023520201107831"/>
  </r>
  <r>
    <x v="3"/>
    <n v="57"/>
    <n v="21.65"/>
    <n v="16.86"/>
    <n v="3.681337906430604E-2"/>
    <n v="0.27930310696088995"/>
  </r>
  <r>
    <x v="3"/>
    <n v="58"/>
    <n v="19.87"/>
    <n v="16.45"/>
    <n v="3.1008846813827404E-2"/>
    <n v="0.22954298853935737"/>
  </r>
  <r>
    <x v="3"/>
    <n v="59"/>
    <n v="10.14"/>
    <n v="13.21"/>
    <n v="8.0754325001260278E-3"/>
    <n v="4.8004408496999176E-2"/>
  </r>
  <r>
    <x v="3"/>
    <n v="60"/>
    <n v="30.29"/>
    <n v="18.48"/>
    <n v="7.2059032708636075E-2"/>
    <n v="0.59924291600501767"/>
  </r>
  <r>
    <x v="3"/>
    <n v="61"/>
    <n v="19.18"/>
    <n v="16.28"/>
    <n v="2.8892630732461146E-2"/>
    <n v="0.21166741274601039"/>
  </r>
  <r>
    <x v="3"/>
    <n v="62"/>
    <n v="22.6"/>
    <n v="17.07"/>
    <n v="4.0114996593688071E-2"/>
    <n v="0.30814334633441492"/>
  </r>
  <r>
    <x v="3"/>
    <n v="63"/>
    <n v="21.1"/>
    <n v="16.739999999999998"/>
    <n v="3.4966711632617796E-2"/>
    <n v="0.26340423872850988"/>
  </r>
  <r>
    <x v="3"/>
    <n v="64"/>
    <n v="24.1"/>
    <n v="17.38"/>
    <n v="4.5616710728287199E-2"/>
    <n v="0.35676829460593418"/>
  </r>
  <r>
    <x v="3"/>
    <n v="65"/>
    <n v="23.27"/>
    <n v="17.21"/>
    <n v="4.252875291527581E-2"/>
    <n v="0.32936392695235356"/>
  </r>
  <r>
    <x v="3"/>
    <n v="66"/>
    <n v="19.16"/>
    <n v="16.28"/>
    <n v="2.8832406401291824E-2"/>
    <n v="0.21122620929586391"/>
  </r>
  <r>
    <x v="3"/>
    <n v="67"/>
    <n v="21.51"/>
    <n v="16.829999999999998"/>
    <n v="3.6338810078054777E-2"/>
    <n v="0.27521197812614784"/>
  </r>
  <r>
    <x v="3"/>
    <n v="68"/>
    <n v="16.22"/>
    <n v="15.47"/>
    <n v="2.066291461711732E-2"/>
    <n v="0.14384488010706223"/>
  </r>
  <r>
    <x v="3"/>
    <n v="69"/>
    <n v="23.43"/>
    <n v="17.239999999999998"/>
    <n v="4.311560242296638E-2"/>
    <n v="0.33449084359737313"/>
  </r>
  <r>
    <x v="3"/>
    <n v="70"/>
    <n v="18.16"/>
    <n v="16.02"/>
    <n v="2.5901300455492549E-2"/>
    <n v="0.18672247498364578"/>
  </r>
  <r>
    <x v="3"/>
    <n v="71"/>
    <n v="29.67"/>
    <n v="18.38"/>
    <n v="6.9139299328242809E-2"/>
    <n v="0.57185114474389631"/>
  </r>
  <r>
    <x v="3"/>
    <n v="72"/>
    <n v="13.4"/>
    <n v="14.55"/>
    <n v="1.4102609421964582E-2"/>
    <n v="9.2336835190313105E-2"/>
  </r>
  <r>
    <x v="3"/>
    <n v="73"/>
    <n v="18.14"/>
    <n v="16.010000000000002"/>
    <n v="2.5844280548829902E-2"/>
    <n v="0.18619511921404505"/>
  </r>
  <r>
    <x v="3"/>
    <n v="74"/>
    <n v="23.3"/>
    <n v="17.22"/>
    <n v="4.2638480892684065E-2"/>
    <n v="0.3304055884374088"/>
  </r>
  <r>
    <x v="3"/>
    <n v="75"/>
    <n v="22.04"/>
    <n v="16.95"/>
    <n v="3.815162684890059E-2"/>
    <n v="0.29100153378998928"/>
  </r>
  <r>
    <x v="3"/>
    <n v="76"/>
    <n v="17.64"/>
    <n v="15.88"/>
    <n v="2.4439203234511861E-2"/>
    <n v="0.17464254631382176"/>
  </r>
  <r>
    <x v="3"/>
    <n v="77"/>
    <n v="16.010000000000002"/>
    <n v="15.41"/>
    <n v="2.0131333578185029E-2"/>
    <n v="0.13960073269792408"/>
  </r>
  <r>
    <x v="3"/>
    <n v="78"/>
    <n v="20.58"/>
    <n v="16.62"/>
    <n v="3.3264471069196694E-2"/>
    <n v="0.24878497912652212"/>
  </r>
  <r>
    <x v="3"/>
    <n v="79"/>
    <n v="19.940000000000001"/>
    <n v="16.47"/>
    <n v="3.122771372002137E-2"/>
    <n v="0.2314442002359384"/>
  </r>
  <r>
    <x v="3"/>
    <n v="80"/>
    <n v="12.84"/>
    <n v="14.35"/>
    <n v="1.2948513944741837E-2"/>
    <n v="8.3615028798170413E-2"/>
  </r>
  <r>
    <x v="3"/>
    <n v="81"/>
    <n v="20.14"/>
    <n v="16.510000000000002"/>
    <n v="3.1857288887800761E-2"/>
    <n v="0.23668372779191579"/>
  </r>
  <r>
    <x v="3"/>
    <n v="82"/>
    <n v="20.76"/>
    <n v="16.66"/>
    <n v="3.3848901550544014E-2"/>
    <n v="0.25376521492442844"/>
  </r>
  <r>
    <x v="3"/>
    <n v="83"/>
    <n v="20.7"/>
    <n v="16.649999999999999"/>
    <n v="3.3653525903417254E-2"/>
    <n v="0.25214904283135375"/>
  </r>
  <r>
    <x v="3"/>
    <n v="84"/>
    <n v="15.78"/>
    <n v="15.34"/>
    <n v="1.9557074003053714E-2"/>
    <n v="0.13500248184307981"/>
  </r>
  <r>
    <x v="3"/>
    <n v="85"/>
    <n v="21.9"/>
    <n v="16.920000000000002"/>
    <n v="3.7668481314705016E-2"/>
    <n v="0.28680781673016403"/>
  </r>
  <r>
    <x v="3"/>
    <n v="86"/>
    <n v="25.51"/>
    <n v="17.649999999999999"/>
    <n v="5.1110578735233989E-2"/>
    <n v="0.40594577160459594"/>
  </r>
  <r>
    <x v="3"/>
    <n v="87"/>
    <n v="21.82"/>
    <n v="16.899999999999999"/>
    <n v="3.7393780453075127E-2"/>
    <n v="0.28437970034563631"/>
  </r>
  <r>
    <x v="3"/>
    <n v="88"/>
    <n v="15.46"/>
    <n v="15.24"/>
    <n v="1.8771927167068558E-2"/>
    <n v="0.12873787651175617"/>
  </r>
  <r>
    <x v="3"/>
    <n v="89"/>
    <n v="18.260000000000002"/>
    <n v="16.04"/>
    <n v="2.6187342466601905E-2"/>
    <n v="0.18902023792393255"/>
  </r>
  <r>
    <x v="3"/>
    <n v="90"/>
    <n v="21.38"/>
    <n v="16.8"/>
    <n v="3.5900895624089255E-2"/>
    <n v="0.27141077091811477"/>
  </r>
  <r>
    <x v="3"/>
    <n v="91"/>
    <n v="17.41"/>
    <n v="15.82"/>
    <n v="2.3806054505089009E-2"/>
    <n v="0.16947530202172867"/>
  </r>
  <r>
    <x v="3"/>
    <n v="92"/>
    <n v="11.37"/>
    <n v="13.77"/>
    <n v="1.0153383982971557E-2"/>
    <n v="6.2915443850483255E-2"/>
  </r>
  <r>
    <x v="3"/>
    <n v="93"/>
    <n v="23.54"/>
    <n v="17.260000000000002"/>
    <n v="4.3521394092048936E-2"/>
    <n v="0.33803066791294412"/>
  </r>
  <r>
    <x v="3"/>
    <n v="94"/>
    <n v="16.68"/>
    <n v="15.61"/>
    <n v="2.1851536197603022E-2"/>
    <n v="0.15349611602006241"/>
  </r>
  <r>
    <x v="3"/>
    <n v="95"/>
    <n v="17.71"/>
    <n v="15.9"/>
    <n v="2.4633550010044563E-2"/>
    <n v="0.17625305032186883"/>
  </r>
  <r>
    <x v="3"/>
    <n v="96"/>
    <n v="26.02"/>
    <n v="17.739999999999998"/>
    <n v="5.3174628670587365E-2"/>
    <n v="0.42449306067729892"/>
  </r>
  <r>
    <x v="3"/>
    <n v="97"/>
    <n v="16.899999999999999"/>
    <n v="15.67"/>
    <n v="2.2431756944794518E-2"/>
    <n v="0.15817753409621854"/>
  </r>
  <r>
    <x v="3"/>
    <n v="98"/>
    <n v="23.38"/>
    <n v="17.23"/>
    <n v="4.2931779982823208E-2"/>
    <n v="0.33287155609681973"/>
  </r>
  <r>
    <x v="3"/>
    <n v="99"/>
    <n v="14.96"/>
    <n v="15.08"/>
    <n v="1.757733656054104E-2"/>
    <n v="0.11927980589983149"/>
  </r>
  <r>
    <x v="3"/>
    <n v="100"/>
    <n v="18.579999999999998"/>
    <n v="16.13"/>
    <n v="2.7113232653467885E-2"/>
    <n v="0.19680139921519665"/>
  </r>
  <r>
    <x v="4"/>
    <n v="1"/>
    <n v="19.71"/>
    <n v="16.02"/>
    <n v="3.0511469864911066E-2"/>
    <n v="0.21995718625614388"/>
  </r>
  <r>
    <x v="4"/>
    <n v="2"/>
    <n v="15.33"/>
    <n v="14.84"/>
    <n v="1.8457555844205459E-2"/>
    <n v="0.12325955792760405"/>
  </r>
  <r>
    <x v="4"/>
    <n v="3"/>
    <n v="17.46"/>
    <n v="15.45"/>
    <n v="2.3942988674877354E-2"/>
    <n v="0.16646362876208481"/>
  </r>
  <r>
    <x v="4"/>
    <n v="4"/>
    <n v="19.88"/>
    <n v="16.059999999999999"/>
    <n v="3.1040066390822442E-2"/>
    <n v="0.22432655980647379"/>
  </r>
  <r>
    <x v="4"/>
    <n v="5"/>
    <n v="22.68"/>
    <n v="16.68"/>
    <n v="4.0399499224397159E-2"/>
    <n v="0.30323864117832505"/>
  </r>
  <r>
    <x v="4"/>
    <n v="6"/>
    <n v="13.4"/>
    <n v="14.21"/>
    <n v="1.4102609421964582E-2"/>
    <n v="9.0179135948752528E-2"/>
  </r>
  <r>
    <x v="4"/>
    <n v="7"/>
    <n v="18.600000000000001"/>
    <n v="15.75"/>
    <n v="2.717163486089812E-2"/>
    <n v="0.19257896207661543"/>
  </r>
  <r>
    <x v="4"/>
    <n v="8"/>
    <n v="23.03"/>
    <n v="16.75"/>
    <n v="4.1656018476108565E-2"/>
    <n v="0.31398223926366836"/>
  </r>
  <r>
    <x v="4"/>
    <n v="9"/>
    <n v="17.84"/>
    <n v="15.56"/>
    <n v="2.499652177125869E-2"/>
    <n v="0.17502564544235336"/>
  </r>
  <r>
    <x v="4"/>
    <n v="10"/>
    <n v="20.91"/>
    <n v="16.3"/>
    <n v="3.4339814672575582E-2"/>
    <n v="0.25188254062334192"/>
  </r>
  <r>
    <x v="4"/>
    <n v="11"/>
    <n v="21.97"/>
    <n v="16.53"/>
    <n v="3.7909669236702734E-2"/>
    <n v="0.28199107461721334"/>
  </r>
  <r>
    <x v="4"/>
    <n v="12"/>
    <n v="21.07"/>
    <n v="16.34"/>
    <n v="3.4867350910966384E-2"/>
    <n v="0.25637963124833585"/>
  </r>
  <r>
    <x v="4"/>
    <n v="13"/>
    <n v="22.61"/>
    <n v="16.670000000000002"/>
    <n v="4.0150504444655261E-2"/>
    <n v="0.30118900909158147"/>
  </r>
  <r>
    <x v="4"/>
    <n v="14"/>
    <n v="19.510000000000002"/>
    <n v="15.97"/>
    <n v="2.9895403545542109E-2"/>
    <n v="0.21484331758003838"/>
  </r>
  <r>
    <x v="4"/>
    <n v="15"/>
    <n v="18.350000000000001"/>
    <n v="15.69"/>
    <n v="2.6446123307459733E-2"/>
    <n v="0.18672285361231944"/>
  </r>
  <r>
    <x v="4"/>
    <n v="16"/>
    <n v="9.43"/>
    <n v="12.56"/>
    <n v="6.984145314030174E-3"/>
    <n v="3.947438931489855E-2"/>
  </r>
  <r>
    <x v="4"/>
    <n v="17"/>
    <n v="19.63"/>
    <n v="16"/>
    <n v="3.0264289354926616E-2"/>
    <n v="0.21790288335547164"/>
  </r>
  <r>
    <x v="4"/>
    <n v="18"/>
    <n v="21.72"/>
    <n v="16.48"/>
    <n v="3.7051818092731871E-2"/>
    <n v="0.27477628297569956"/>
  </r>
  <r>
    <x v="4"/>
    <n v="19"/>
    <n v="22.14"/>
    <n v="16.57"/>
    <n v="3.8498615757489585E-2"/>
    <n v="0.28706492839572106"/>
  </r>
  <r>
    <x v="4"/>
    <n v="20"/>
    <n v="17.78"/>
    <n v="15.54"/>
    <n v="2.4828666475777392E-2"/>
    <n v="0.17362686466511132"/>
  </r>
  <r>
    <x v="4"/>
    <n v="21"/>
    <n v="27.12"/>
    <n v="17.52"/>
    <n v="5.7765595094910818E-2"/>
    <n v="0.45542395172827688"/>
  </r>
  <r>
    <x v="4"/>
    <n v="22"/>
    <n v="21.15"/>
    <n v="16.350000000000001"/>
    <n v="3.5132626994635499E-2"/>
    <n v="0.25848830311303067"/>
  </r>
  <r>
    <x v="4"/>
    <n v="23"/>
    <n v="20.51"/>
    <n v="16.21"/>
    <n v="3.30385669954587E-2"/>
    <n v="0.24099982694837352"/>
  </r>
  <r>
    <x v="4"/>
    <n v="24"/>
    <n v="25.09"/>
    <n v="17.16"/>
    <n v="4.9441450558381721E-2"/>
    <n v="0.38178688121182369"/>
  </r>
  <r>
    <x v="4"/>
    <n v="25"/>
    <n v="17.13"/>
    <n v="15.36"/>
    <n v="2.3046480233304068E-2"/>
    <n v="0.15929727137259772"/>
  </r>
  <r>
    <x v="4"/>
    <n v="26"/>
    <n v="18.2"/>
    <n v="15.65"/>
    <n v="2.6015528764377075E-2"/>
    <n v="0.18321436132312555"/>
  </r>
  <r>
    <x v="4"/>
    <n v="27"/>
    <n v="29.59"/>
    <n v="17.93"/>
    <n v="6.8766957766939335E-2"/>
    <n v="0.55484619874255003"/>
  </r>
  <r>
    <x v="4"/>
    <n v="28"/>
    <n v="20.04"/>
    <n v="16.100000000000001"/>
    <n v="3.1541715905747662E-2"/>
    <n v="0.22851973173714185"/>
  </r>
  <r>
    <x v="4"/>
    <n v="29"/>
    <n v="26.53"/>
    <n v="17.420000000000002"/>
    <n v="5.5279535018400716E-2"/>
    <n v="0.43333627500924327"/>
  </r>
  <r>
    <x v="4"/>
    <n v="30"/>
    <n v="14.25"/>
    <n v="14.5"/>
    <n v="1.5948491455489433E-2"/>
    <n v="0.10406390674706856"/>
  </r>
  <r>
    <x v="4"/>
    <n v="31"/>
    <n v="19.239999999999998"/>
    <n v="15.91"/>
    <n v="2.9073680717087519E-2"/>
    <n v="0.20815301709398809"/>
  </r>
  <r>
    <x v="4"/>
    <n v="32"/>
    <n v="21.51"/>
    <n v="16.43"/>
    <n v="3.6338810078054777E-2"/>
    <n v="0.26867099231209801"/>
  </r>
  <r>
    <x v="4"/>
    <n v="33"/>
    <n v="21.2"/>
    <n v="16.37"/>
    <n v="3.5298935055734913E-2"/>
    <n v="0.26002960508807127"/>
  </r>
  <r>
    <x v="4"/>
    <n v="34"/>
    <n v="15.98"/>
    <n v="15.04"/>
    <n v="2.0055958916443777E-2"/>
    <n v="0.1357387299464915"/>
  </r>
  <r>
    <x v="4"/>
    <n v="35"/>
    <n v="20.079999999999998"/>
    <n v="16.11"/>
    <n v="3.1667756603009682E-2"/>
    <n v="0.22957540149351868"/>
  </r>
  <r>
    <x v="4"/>
    <n v="36"/>
    <n v="15.69"/>
    <n v="14.95"/>
    <n v="1.9334625681234657E-2"/>
    <n v="0.13007369427050616"/>
  </r>
  <r>
    <x v="4"/>
    <n v="37"/>
    <n v="22.85"/>
    <n v="16.72"/>
    <n v="4.1007405256848428E-2"/>
    <n v="0.30853971715252754"/>
  </r>
  <r>
    <x v="4"/>
    <n v="38"/>
    <n v="24.34"/>
    <n v="17.010000000000002"/>
    <n v="4.652978321712653E-2"/>
    <n v="0.35616222563549504"/>
  </r>
  <r>
    <x v="4"/>
    <n v="39"/>
    <n v="11.1"/>
    <n v="13.33"/>
    <n v="9.6768907712199599E-3"/>
    <n v="5.8046829291162928E-2"/>
  </r>
  <r>
    <x v="4"/>
    <n v="40"/>
    <n v="24.94"/>
    <n v="17.13"/>
    <n v="4.8852048506660119E-2"/>
    <n v="0.37657601591358952"/>
  </r>
  <r>
    <x v="4"/>
    <n v="41"/>
    <n v="15.04"/>
    <n v="14.75"/>
    <n v="1.7765832119756422E-2"/>
    <n v="0.11792071069488326"/>
  </r>
  <r>
    <x v="4"/>
    <n v="42"/>
    <n v="21.82"/>
    <n v="16.5"/>
    <n v="3.7393780453075127E-2"/>
    <n v="0.2776488198640828"/>
  </r>
  <r>
    <x v="4"/>
    <n v="43"/>
    <n v="22.64"/>
    <n v="16.670000000000002"/>
    <n v="4.0257122245336473E-2"/>
    <n v="0.30198880252339155"/>
  </r>
  <r>
    <x v="4"/>
    <n v="44"/>
    <n v="19.2"/>
    <n v="15.9"/>
    <n v="2.8952917895483536E-2"/>
    <n v="0.20715812754218471"/>
  </r>
  <r>
    <x v="4"/>
    <n v="45"/>
    <n v="17.420000000000002"/>
    <n v="15.44"/>
    <n v="2.383340992312015E-2"/>
    <n v="0.1655945321458388"/>
  </r>
  <r>
    <x v="4"/>
    <n v="46"/>
    <n v="20.66"/>
    <n v="16.239999999999998"/>
    <n v="3.352358963126479E-2"/>
    <n v="0.24499039302528308"/>
  </r>
  <r>
    <x v="4"/>
    <n v="47"/>
    <n v="21.76"/>
    <n v="16.489999999999998"/>
    <n v="3.7188414541309972E-2"/>
    <n v="0.27595663010379062"/>
  </r>
  <r>
    <x v="4"/>
    <n v="48"/>
    <n v="23.53"/>
    <n v="16.850000000000001"/>
    <n v="4.348442540049783E-2"/>
    <n v="0.32972065559927483"/>
  </r>
  <r>
    <x v="4"/>
    <n v="49"/>
    <n v="11.79"/>
    <n v="13.61"/>
    <n v="1.0917356484471523E-2"/>
    <n v="6.6863349789145848E-2"/>
  </r>
  <r>
    <x v="4"/>
    <n v="50"/>
    <n v="13.45"/>
    <n v="14.23"/>
    <n v="1.4208049125400685E-2"/>
    <n v="9.0981242574503282E-2"/>
  </r>
  <r>
    <x v="4"/>
    <n v="51"/>
    <n v="25.72"/>
    <n v="17.27"/>
    <n v="5.1955533641361851E-2"/>
    <n v="0.40377242969384364"/>
  </r>
  <r>
    <x v="4"/>
    <n v="52"/>
    <n v="24.19"/>
    <n v="16.98"/>
    <n v="4.5958052624081362E-2"/>
    <n v="0.35116548010060572"/>
  </r>
  <r>
    <x v="4"/>
    <n v="53"/>
    <n v="21.74"/>
    <n v="16.48"/>
    <n v="3.7120084901094377E-2"/>
    <n v="0.27528254962651594"/>
  </r>
  <r>
    <x v="4"/>
    <n v="54"/>
    <n v="22.86"/>
    <n v="16.72"/>
    <n v="4.1043305806897322E-2"/>
    <n v="0.30880983289109543"/>
  </r>
  <r>
    <x v="4"/>
    <n v="55"/>
    <n v="23.67"/>
    <n v="16.88"/>
    <n v="4.4003416506870868E-2"/>
    <n v="0.3342499517861911"/>
  </r>
  <r>
    <x v="4"/>
    <n v="56"/>
    <n v="9.36"/>
    <n v="12.53"/>
    <n v="6.8808418935985072E-3"/>
    <n v="3.8797627017055178E-2"/>
  </r>
  <r>
    <x v="4"/>
    <n v="57"/>
    <n v="24.44"/>
    <n v="17.03"/>
    <n v="4.6912900441231815E-2"/>
    <n v="0.35951701253138002"/>
  </r>
  <r>
    <x v="4"/>
    <n v="58"/>
    <n v="18.059999999999999"/>
    <n v="15.61"/>
    <n v="2.5616829240709994E-2"/>
    <n v="0.17994541700136735"/>
  </r>
  <r>
    <x v="4"/>
    <n v="59"/>
    <n v="20.92"/>
    <n v="16.3"/>
    <n v="3.4372667877750507E-2"/>
    <n v="0.25212351888329998"/>
  </r>
  <r>
    <x v="4"/>
    <n v="60"/>
    <n v="18.82"/>
    <n v="15.81"/>
    <n v="2.7818206044933437E-2"/>
    <n v="0.19791262690667893"/>
  </r>
  <r>
    <x v="4"/>
    <n v="61"/>
    <n v="23.49"/>
    <n v="16.850000000000001"/>
    <n v="4.3336707713926031E-2"/>
    <n v="0.32860058624084415"/>
  </r>
  <r>
    <x v="4"/>
    <n v="62"/>
    <n v="18.61"/>
    <n v="15.75"/>
    <n v="2.7200859526558138E-2"/>
    <n v="0.19278609189448082"/>
  </r>
  <r>
    <x v="4"/>
    <n v="63"/>
    <n v="22.07"/>
    <n v="16.55"/>
    <n v="3.8255558587862976E-2"/>
    <n v="0.28490827258310952"/>
  </r>
  <r>
    <x v="4"/>
    <n v="64"/>
    <n v="18.440000000000001"/>
    <n v="15.71"/>
    <n v="2.6706176493342258E-2"/>
    <n v="0.18879931471968309"/>
  </r>
  <r>
    <x v="4"/>
    <n v="65"/>
    <n v="15.63"/>
    <n v="14.93"/>
    <n v="1.9187033658369008E-2"/>
    <n v="0.12890808563375217"/>
  </r>
  <r>
    <x v="4"/>
    <n v="66"/>
    <n v="24.84"/>
    <n v="17.11"/>
    <n v="4.8461077300920849E-2"/>
    <n v="0.37312606467844012"/>
  </r>
  <r>
    <x v="4"/>
    <n v="67"/>
    <n v="22.96"/>
    <n v="16.739999999999998"/>
    <n v="4.1403175245366027E-2"/>
    <n v="0.31189011912334225"/>
  </r>
  <r>
    <x v="4"/>
    <n v="68"/>
    <n v="26.9"/>
    <n v="17.48"/>
    <n v="5.683219650160274E-2"/>
    <n v="0.44704205768160715"/>
  </r>
  <r>
    <x v="4"/>
    <n v="69"/>
    <n v="20.260000000000002"/>
    <n v="16.149999999999999"/>
    <n v="3.2238049917415849E-2"/>
    <n v="0.23429002777481966"/>
  </r>
  <r>
    <x v="4"/>
    <n v="70"/>
    <n v="24.5"/>
    <n v="17.04"/>
    <n v="4.7143524757931835E-2"/>
    <n v="0.36149654784382129"/>
  </r>
  <r>
    <x v="4"/>
    <n v="71"/>
    <n v="27.9"/>
    <n v="17.649999999999999"/>
    <n v="6.1136178437020773E-2"/>
    <n v="0.48557409723603745"/>
  </r>
  <r>
    <x v="4"/>
    <n v="72"/>
    <n v="18.87"/>
    <n v="15.82"/>
    <n v="2.7966214328825685E-2"/>
    <n v="0.19909147980691005"/>
  </r>
  <r>
    <x v="4"/>
    <n v="73"/>
    <n v="14.71"/>
    <n v="14.65"/>
    <n v="1.6994767472840979E-2"/>
    <n v="0.11203800456470417"/>
  </r>
  <r>
    <x v="4"/>
    <n v="74"/>
    <n v="19.04"/>
    <n v="15.86"/>
    <n v="2.847237988319044E-2"/>
    <n v="0.20320737522633017"/>
  </r>
  <r>
    <x v="4"/>
    <n v="75"/>
    <n v="19.14"/>
    <n v="15.89"/>
    <n v="2.8772244901975587E-2"/>
    <n v="0.20573593717157643"/>
  </r>
  <r>
    <x v="4"/>
    <n v="76"/>
    <n v="20.61"/>
    <n v="16.23"/>
    <n v="3.336152272024772E-2"/>
    <n v="0.24365588118732923"/>
  </r>
  <r>
    <x v="4"/>
    <n v="77"/>
    <n v="26.85"/>
    <n v="17.47"/>
    <n v="5.6621120745189706E-2"/>
    <n v="0.44512694073830883"/>
  </r>
  <r>
    <x v="4"/>
    <n v="78"/>
    <n v="18.7"/>
    <n v="15.78"/>
    <n v="2.746458837584537E-2"/>
    <n v="0.19502604205687796"/>
  </r>
  <r>
    <x v="4"/>
    <n v="79"/>
    <n v="21.49"/>
    <n v="16.43"/>
    <n v="3.6271265836002584E-2"/>
    <n v="0.26817160395848511"/>
  </r>
  <r>
    <x v="4"/>
    <n v="80"/>
    <n v="19.09"/>
    <n v="15.87"/>
    <n v="2.862211604304216E-2"/>
    <n v="0.20440484172138559"/>
  </r>
  <r>
    <x v="4"/>
    <n v="81"/>
    <n v="20.079999999999998"/>
    <n v="16.11"/>
    <n v="3.1667756603009682E-2"/>
    <n v="0.22957540149351868"/>
  </r>
  <r>
    <x v="4"/>
    <n v="82"/>
    <n v="21.26"/>
    <n v="16.38"/>
    <n v="3.5499023091842052E-2"/>
    <n v="0.26166329920996773"/>
  </r>
  <r>
    <x v="4"/>
    <n v="83"/>
    <n v="25.31"/>
    <n v="17.2"/>
    <n v="5.031230004195681E-2"/>
    <n v="0.38941720232474569"/>
  </r>
  <r>
    <x v="4"/>
    <n v="84"/>
    <n v="20.49"/>
    <n v="16.2"/>
    <n v="3.2974164346060097E-2"/>
    <n v="0.24038165808277812"/>
  </r>
  <r>
    <x v="4"/>
    <n v="85"/>
    <n v="22.85"/>
    <n v="16.72"/>
    <n v="4.1007405256848428E-2"/>
    <n v="0.30853971715252754"/>
  </r>
  <r>
    <x v="4"/>
    <n v="86"/>
    <n v="23.12"/>
    <n v="16.77"/>
    <n v="4.1982233603275701E-2"/>
    <n v="0.31681892588712007"/>
  </r>
  <r>
    <x v="4"/>
    <n v="87"/>
    <n v="23.66"/>
    <n v="16.88"/>
    <n v="4.3966243611797261E-2"/>
    <n v="0.33396758647521196"/>
  </r>
  <r>
    <x v="4"/>
    <n v="88"/>
    <n v="17.7"/>
    <n v="15.52"/>
    <n v="2.4605739061078654E-2"/>
    <n v="0.17184648160257332"/>
  </r>
  <r>
    <x v="4"/>
    <n v="89"/>
    <n v="26.51"/>
    <n v="17.41"/>
    <n v="5.5196219981227514E-2"/>
    <n v="0.43243478544292696"/>
  </r>
  <r>
    <x v="4"/>
    <n v="90"/>
    <n v="18.48"/>
    <n v="15.72"/>
    <n v="2.6822164094112793E-2"/>
    <n v="0.18973998880175391"/>
  </r>
  <r>
    <x v="4"/>
    <n v="91"/>
    <n v="19.579999999999998"/>
    <n v="15.99"/>
    <n v="3.0110312044992541E-2"/>
    <n v="0.21665875031974385"/>
  </r>
  <r>
    <x v="4"/>
    <n v="92"/>
    <n v="25.62"/>
    <n v="17.25"/>
    <n v="5.1552310224273604E-2"/>
    <n v="0.40017480811592387"/>
  </r>
  <r>
    <x v="4"/>
    <n v="93"/>
    <n v="25.18"/>
    <n v="17.170000000000002"/>
    <n v="4.9796788249447624E-2"/>
    <n v="0.38475488440935712"/>
  </r>
  <r>
    <x v="4"/>
    <n v="94"/>
    <n v="15.64"/>
    <n v="14.94"/>
    <n v="1.9211593058938447E-2"/>
    <n v="0.12915954013524319"/>
  </r>
  <r>
    <x v="4"/>
    <n v="95"/>
    <n v="16.510000000000002"/>
    <n v="15.19"/>
    <n v="2.1408390991869284E-2"/>
    <n v="0.14633705662492247"/>
  </r>
  <r>
    <x v="4"/>
    <n v="96"/>
    <n v="14.57"/>
    <n v="14.6"/>
    <n v="1.6672817057701097E-2"/>
    <n v="0.10954040806909621"/>
  </r>
  <r>
    <x v="4"/>
    <n v="97"/>
    <n v="20.73"/>
    <n v="16.260000000000002"/>
    <n v="3.3751143041145931E-2"/>
    <n v="0.24695711363206482"/>
  </r>
  <r>
    <x v="4"/>
    <n v="98"/>
    <n v="20.66"/>
    <n v="16.239999999999998"/>
    <n v="3.352358963126479E-2"/>
    <n v="0.24499039302528308"/>
  </r>
  <r>
    <x v="4"/>
    <n v="99"/>
    <n v="21.46"/>
    <n v="16.420000000000002"/>
    <n v="3.6170067282648828E-2"/>
    <n v="0.26726062715149224"/>
  </r>
  <r>
    <x v="4"/>
    <n v="100"/>
    <n v="22.21"/>
    <n v="16.579999999999998"/>
    <n v="3.8742442617316325E-2"/>
    <n v="0.28905736436779705"/>
  </r>
  <r>
    <x v="5"/>
    <n v="1"/>
    <n v="17.59"/>
    <n v="14.78"/>
    <n v="2.43008553480294E-2"/>
    <n v="0.16162498891974353"/>
  </r>
  <r>
    <x v="5"/>
    <n v="2"/>
    <n v="16.03"/>
    <n v="14.36"/>
    <n v="2.0181661892495539E-2"/>
    <n v="0.13041389914930618"/>
  </r>
  <r>
    <x v="5"/>
    <n v="3"/>
    <n v="24.11"/>
    <n v="16.190000000000001"/>
    <n v="4.5654574773744586E-2"/>
    <n v="0.33261640451411617"/>
  </r>
  <r>
    <x v="5"/>
    <n v="4"/>
    <n v="23"/>
    <n v="15.98"/>
    <n v="4.154756284372501E-2"/>
    <n v="0.29876852440922658"/>
  </r>
  <r>
    <x v="5"/>
    <n v="5"/>
    <n v="13.96"/>
    <n v="13.74"/>
    <n v="1.5305965071995617E-2"/>
    <n v="9.4636782040148901E-2"/>
  </r>
  <r>
    <x v="5"/>
    <n v="6"/>
    <n v="19.62"/>
    <n v="15.27"/>
    <n v="3.0233462477013272E-2"/>
    <n v="0.20774923741079671"/>
  </r>
  <r>
    <x v="5"/>
    <n v="7"/>
    <n v="16.420000000000002"/>
    <n v="14.47"/>
    <n v="2.1175622538183184E-2"/>
    <n v="0.1378850661573798"/>
  </r>
  <r>
    <x v="5"/>
    <n v="8"/>
    <n v="11.72"/>
    <n v="12.96"/>
    <n v="1.0788103508721208E-2"/>
    <n v="6.2916219662862094E-2"/>
  </r>
  <r>
    <x v="5"/>
    <n v="9"/>
    <n v="20.6"/>
    <n v="15.49"/>
    <n v="3.3329156461934122E-2"/>
    <n v="0.23232088511791182"/>
  </r>
  <r>
    <x v="5"/>
    <n v="10"/>
    <n v="19.68"/>
    <n v="15.28"/>
    <n v="3.0418659363942384E-2"/>
    <n v="0.20915870178646784"/>
  </r>
  <r>
    <x v="5"/>
    <n v="11"/>
    <n v="19.61"/>
    <n v="15.27"/>
    <n v="3.0202651307063188E-2"/>
    <n v="0.20753751845648472"/>
  </r>
  <r>
    <x v="5"/>
    <n v="12"/>
    <n v="20.86"/>
    <n v="15.54"/>
    <n v="3.4175784266150026E-2"/>
    <n v="0.2389912593731871"/>
  </r>
  <r>
    <x v="5"/>
    <n v="13"/>
    <n v="23.53"/>
    <n v="16.079999999999998"/>
    <n v="4.348442540049783E-2"/>
    <n v="0.3146533021980023"/>
  </r>
  <r>
    <x v="5"/>
    <n v="14"/>
    <n v="20.82"/>
    <n v="15.53"/>
    <n v="3.404484268434841E-2"/>
    <n v="0.23792238309956884"/>
  </r>
  <r>
    <x v="5"/>
    <n v="15"/>
    <n v="17.53"/>
    <n v="14.76"/>
    <n v="2.4135356247038293E-2"/>
    <n v="0.16030703619282832"/>
  </r>
  <r>
    <x v="5"/>
    <n v="16"/>
    <n v="17.059999999999999"/>
    <n v="14.64"/>
    <n v="2.2858510890858157E-2"/>
    <n v="0.15059186974897354"/>
  </r>
  <r>
    <x v="5"/>
    <n v="17"/>
    <n v="19.47"/>
    <n v="15.23"/>
    <n v="2.9772944263905168E-2"/>
    <n v="0.20404887351267409"/>
  </r>
  <r>
    <x v="5"/>
    <n v="18"/>
    <n v="21.24"/>
    <n v="15.62"/>
    <n v="3.543226424795326E-2"/>
    <n v="0.24905338539886349"/>
  </r>
  <r>
    <x v="5"/>
    <n v="19"/>
    <n v="15.84"/>
    <n v="14.31"/>
    <n v="1.9706079742613479E-2"/>
    <n v="0.12689730050255951"/>
  </r>
  <r>
    <x v="5"/>
    <n v="20"/>
    <n v="19.260000000000002"/>
    <n v="15.19"/>
    <n v="2.9134156375669136E-2"/>
    <n v="0.19914652590588638"/>
  </r>
  <r>
    <x v="5"/>
    <n v="21"/>
    <n v="23.87"/>
    <n v="16.149999999999999"/>
    <n v="4.475017308062916E-2"/>
    <n v="0.32522188286347237"/>
  </r>
  <r>
    <x v="5"/>
    <n v="22"/>
    <n v="19.57"/>
    <n v="15.26"/>
    <n v="3.0079563706895546E-2"/>
    <n v="0.20655636397525171"/>
  </r>
  <r>
    <x v="5"/>
    <n v="23"/>
    <n v="17.21"/>
    <n v="14.68"/>
    <n v="2.3262244816752622E-2"/>
    <n v="0.15367038925946783"/>
  </r>
  <r>
    <x v="5"/>
    <n v="24"/>
    <n v="18.899999999999999"/>
    <n v="15.1"/>
    <n v="2.8055207794720247E-2"/>
    <n v="0.19063513696512407"/>
  </r>
  <r>
    <x v="5"/>
    <n v="25"/>
    <n v="24.46"/>
    <n v="16.25"/>
    <n v="4.6989712381612078E-2"/>
    <n v="0.34361227179053833"/>
  </r>
  <r>
    <x v="5"/>
    <n v="26"/>
    <n v="22.2"/>
    <n v="15.82"/>
    <n v="3.870756308487984E-2"/>
    <n v="0.27555914160125961"/>
  </r>
  <r>
    <x v="5"/>
    <n v="27"/>
    <n v="24.95"/>
    <n v="16.34"/>
    <n v="4.8891232021032002E-2"/>
    <n v="0.35949722905064835"/>
  </r>
  <r>
    <x v="5"/>
    <n v="28"/>
    <n v="20.56"/>
    <n v="15.48"/>
    <n v="3.3199848508312355E-2"/>
    <n v="0.23127014470890386"/>
  </r>
  <r>
    <x v="5"/>
    <n v="29"/>
    <n v="21.64"/>
    <n v="15.71"/>
    <n v="3.6779379177812571E-2"/>
    <n v="0.260011821097546"/>
  </r>
  <r>
    <x v="5"/>
    <n v="30"/>
    <n v="17.77"/>
    <n v="14.82"/>
    <n v="2.4800745571068608E-2"/>
    <n v="0.16539617221345657"/>
  </r>
  <r>
    <x v="5"/>
    <n v="31"/>
    <n v="22.42"/>
    <n v="15.86"/>
    <n v="3.9478541337997317E-2"/>
    <n v="0.28175834952928686"/>
  </r>
  <r>
    <x v="5"/>
    <n v="32"/>
    <n v="17.97"/>
    <n v="14.88"/>
    <n v="2.5362148178265102E-2"/>
    <n v="0.16982494420166314"/>
  </r>
  <r>
    <x v="5"/>
    <n v="33"/>
    <n v="14.32"/>
    <n v="13.86"/>
    <n v="1.6105563234187291E-2"/>
    <n v="0.10045039789162613"/>
  </r>
  <r>
    <x v="5"/>
    <n v="34"/>
    <n v="20.51"/>
    <n v="15.47"/>
    <n v="3.30385669954587E-2"/>
    <n v="0.22999798413888575"/>
  </r>
  <r>
    <x v="5"/>
    <n v="35"/>
    <n v="27.78"/>
    <n v="16.82"/>
    <n v="6.0611406800165142E-2"/>
    <n v="0.45876773807044996"/>
  </r>
  <r>
    <x v="5"/>
    <n v="36"/>
    <n v="23.2"/>
    <n v="16.02"/>
    <n v="4.2273270746704256E-2"/>
    <n v="0.30474800881299097"/>
  </r>
  <r>
    <x v="5"/>
    <n v="37"/>
    <n v="24.66"/>
    <n v="16.29"/>
    <n v="4.7761287537333726E-2"/>
    <n v="0.35011411829242489"/>
  </r>
  <r>
    <x v="5"/>
    <n v="38"/>
    <n v="21.44"/>
    <n v="15.66"/>
    <n v="3.6102680120229338E-2"/>
    <n v="0.25441558680725618"/>
  </r>
  <r>
    <x v="5"/>
    <n v="39"/>
    <n v="17.57"/>
    <n v="14.77"/>
    <n v="2.4245626149179293E-2"/>
    <n v="0.16114855420052016"/>
  </r>
  <r>
    <x v="5"/>
    <n v="40"/>
    <n v="19.190000000000001"/>
    <n v="15.17"/>
    <n v="2.8922766459990708E-2"/>
    <n v="0.19744126523912658"/>
  </r>
  <r>
    <x v="5"/>
    <n v="41"/>
    <n v="18.91"/>
    <n v="15.1"/>
    <n v="2.8084903699278307E-2"/>
    <n v="0.1908369206365961"/>
  </r>
  <r>
    <x v="5"/>
    <n v="42"/>
    <n v="18.13"/>
    <n v="14.91"/>
    <n v="2.5815794157443468E-2"/>
    <n v="0.17321107089936696"/>
  </r>
  <r>
    <x v="5"/>
    <n v="43"/>
    <n v="22.82"/>
    <n v="15.94"/>
    <n v="4.0899797854481328E-2"/>
    <n v="0.29337425001019457"/>
  </r>
  <r>
    <x v="5"/>
    <n v="44"/>
    <n v="15.21"/>
    <n v="14.13"/>
    <n v="1.8169723125283564E-2"/>
    <n v="0.11553218449211554"/>
  </r>
  <r>
    <x v="5"/>
    <n v="45"/>
    <n v="23.47"/>
    <n v="16.07"/>
    <n v="4.3262943118419744E-2"/>
    <n v="0.3128559731608524"/>
  </r>
  <r>
    <x v="5"/>
    <n v="46"/>
    <n v="23.46"/>
    <n v="16.07"/>
    <n v="4.322608438261151E-2"/>
    <n v="0.31258942921285515"/>
  </r>
  <r>
    <x v="5"/>
    <n v="47"/>
    <n v="15.21"/>
    <n v="14.13"/>
    <n v="1.8169723125283564E-2"/>
    <n v="0.11553218449211554"/>
  </r>
  <r>
    <x v="5"/>
    <n v="48"/>
    <n v="22.56"/>
    <n v="15.89"/>
    <n v="3.9973122269451947E-2"/>
    <n v="0.28582781078771619"/>
  </r>
  <r>
    <x v="5"/>
    <n v="49"/>
    <n v="29.72"/>
    <n v="17.13"/>
    <n v="6.9372523312863671E-2"/>
    <n v="0.53475809595720958"/>
  </r>
  <r>
    <x v="5"/>
    <n v="50"/>
    <n v="17.77"/>
    <n v="14.82"/>
    <n v="2.4800745571068608E-2"/>
    <n v="0.16539617221345657"/>
  </r>
  <r>
    <x v="5"/>
    <n v="51"/>
    <n v="23.38"/>
    <n v="16.05"/>
    <n v="4.2931779982823208E-2"/>
    <n v="0.31007478092594065"/>
  </r>
  <r>
    <x v="5"/>
    <n v="52"/>
    <n v="16.87"/>
    <n v="14.59"/>
    <n v="2.2352188256860733E-2"/>
    <n v="0.14675329200041914"/>
  </r>
  <r>
    <x v="5"/>
    <n v="53"/>
    <n v="24.44"/>
    <n v="16.25"/>
    <n v="4.6912900441231815E-2"/>
    <n v="0.34305058447650766"/>
  </r>
  <r>
    <x v="5"/>
    <n v="54"/>
    <n v="21"/>
    <n v="15.57"/>
    <n v="3.4636059005827467E-2"/>
    <n v="0.24267754742433018"/>
  </r>
  <r>
    <x v="5"/>
    <n v="55"/>
    <n v="26.61"/>
    <n v="16.63"/>
    <n v="5.561342348562423E-2"/>
    <n v="0.41618305465466893"/>
  </r>
  <r>
    <x v="5"/>
    <n v="56"/>
    <n v="14.16"/>
    <n v="13.81"/>
    <n v="1.5747672999090342E-2"/>
    <n v="9.7863913852846943E-2"/>
  </r>
  <r>
    <x v="5"/>
    <n v="57"/>
    <n v="19.79"/>
    <n v="15.31"/>
    <n v="3.0759655684544657E-2"/>
    <n v="0.21191864783867043"/>
  </r>
  <r>
    <x v="5"/>
    <n v="58"/>
    <n v="17.89"/>
    <n v="14.85"/>
    <n v="2.5136833153149647E-2"/>
    <n v="0.16797688754592252"/>
  </r>
  <r>
    <x v="5"/>
    <n v="59"/>
    <n v="19.21"/>
    <n v="15.17"/>
    <n v="2.8983085038939635E-2"/>
    <n v="0.19785303001832141"/>
  </r>
  <r>
    <x v="5"/>
    <n v="60"/>
    <n v="17.48"/>
    <n v="14.75"/>
    <n v="2.3997872298535568E-2"/>
    <n v="0.15928587738152983"/>
  </r>
  <r>
    <x v="5"/>
    <n v="61"/>
    <n v="16.66"/>
    <n v="14.54"/>
    <n v="2.1799165848067681E-2"/>
    <n v="0.14263194214390681"/>
  </r>
  <r>
    <x v="5"/>
    <n v="62"/>
    <n v="22.31"/>
    <n v="15.84"/>
    <n v="3.9092101879660862E-2"/>
    <n v="0.27864850219822268"/>
  </r>
  <r>
    <x v="5"/>
    <n v="63"/>
    <n v="15.65"/>
    <n v="14.26"/>
    <n v="1.9236168167471156E-2"/>
    <n v="0.12343849113066241"/>
  </r>
  <r>
    <x v="5"/>
    <n v="64"/>
    <n v="25.94"/>
    <n v="16.52"/>
    <n v="5.2848154362026334E-2"/>
    <n v="0.39287317952730377"/>
  </r>
  <r>
    <x v="5"/>
    <n v="65"/>
    <n v="15.26"/>
    <n v="14.14"/>
    <n v="1.8289378535477161E-2"/>
    <n v="0.11637531562124118"/>
  </r>
  <r>
    <x v="5"/>
    <n v="66"/>
    <n v="20.399999999999999"/>
    <n v="15.44"/>
    <n v="3.2685129967948208E-2"/>
    <n v="0.22709628301730414"/>
  </r>
  <r>
    <x v="5"/>
    <n v="67"/>
    <n v="22.13"/>
    <n v="15.81"/>
    <n v="3.8463846180795971E-2"/>
    <n v="0.27365103365327298"/>
  </r>
  <r>
    <x v="5"/>
    <n v="68"/>
    <n v="22.35"/>
    <n v="15.85"/>
    <n v="3.9232405407570191E-2"/>
    <n v="0.27982513156949435"/>
  </r>
  <r>
    <x v="5"/>
    <n v="69"/>
    <n v="18.79"/>
    <n v="15.07"/>
    <n v="2.7729589570157299E-2"/>
    <n v="0.18804821167002175"/>
  </r>
  <r>
    <x v="5"/>
    <n v="70"/>
    <n v="20.32"/>
    <n v="15.42"/>
    <n v="3.2429278662239852E-2"/>
    <n v="0.22502676463728233"/>
  </r>
  <r>
    <x v="5"/>
    <n v="71"/>
    <n v="23.85"/>
    <n v="16.14"/>
    <n v="4.4675214679914511E-2"/>
    <n v="0.32447608422021912"/>
  </r>
  <r>
    <x v="5"/>
    <n v="72"/>
    <n v="14.17"/>
    <n v="13.81"/>
    <n v="1.5769923329059389E-2"/>
    <n v="9.8002188528439588E-2"/>
  </r>
  <r>
    <x v="5"/>
    <n v="73"/>
    <n v="16.87"/>
    <n v="14.59"/>
    <n v="2.2352188256860733E-2"/>
    <n v="0.14675329200041914"/>
  </r>
  <r>
    <x v="5"/>
    <n v="74"/>
    <n v="21.28"/>
    <n v="15.63"/>
    <n v="3.5565844767583905E-2"/>
    <n v="0.25015236917280137"/>
  </r>
  <r>
    <x v="5"/>
    <n v="75"/>
    <n v="18.22"/>
    <n v="14.94"/>
    <n v="2.6072737166598945E-2"/>
    <n v="0.17528701197104468"/>
  </r>
  <r>
    <x v="5"/>
    <n v="76"/>
    <n v="25.48"/>
    <n v="16.440000000000001"/>
    <n v="5.0990436378179071E-2"/>
    <n v="0.37722724832576882"/>
  </r>
  <r>
    <x v="5"/>
    <n v="77"/>
    <n v="22.69"/>
    <n v="15.92"/>
    <n v="4.0435132739070505E-2"/>
    <n v="0.28967729094270112"/>
  </r>
  <r>
    <x v="5"/>
    <n v="78"/>
    <n v="20.29"/>
    <n v="15.42"/>
    <n v="3.2333593603993134E-2"/>
    <n v="0.22436280601810835"/>
  </r>
  <r>
    <x v="5"/>
    <n v="79"/>
    <n v="13.97"/>
    <n v="13.75"/>
    <n v="1.532790124269931E-2"/>
    <n v="9.4841388939201979E-2"/>
  </r>
  <r>
    <x v="5"/>
    <n v="80"/>
    <n v="20.100000000000001"/>
    <n v="15.38"/>
    <n v="3.1730871199420314E-2"/>
    <n v="0.21960935957118802"/>
  </r>
  <r>
    <x v="5"/>
    <n v="81"/>
    <n v="18.73"/>
    <n v="15.06"/>
    <n v="2.7552780735613271E-2"/>
    <n v="0.18672519504525115"/>
  </r>
  <r>
    <x v="5"/>
    <n v="82"/>
    <n v="19.59"/>
    <n v="15.26"/>
    <n v="3.0141076091052828E-2"/>
    <n v="0.20697876951725977"/>
  </r>
  <r>
    <x v="5"/>
    <n v="83"/>
    <n v="15.27"/>
    <n v="14.15"/>
    <n v="1.8313356741405686E-2"/>
    <n v="0.11661029905090071"/>
  </r>
  <r>
    <x v="5"/>
    <n v="84"/>
    <n v="21.99"/>
    <n v="15.78"/>
    <n v="3.7978721443228634E-2"/>
    <n v="0.26968690096836656"/>
  </r>
  <r>
    <x v="5"/>
    <n v="85"/>
    <n v="15.84"/>
    <n v="14.31"/>
    <n v="1.9706079742613479E-2"/>
    <n v="0.12689730050255951"/>
  </r>
  <r>
    <x v="5"/>
    <n v="86"/>
    <n v="19.100000000000001"/>
    <n v="15.15"/>
    <n v="2.8652110398902319E-2"/>
    <n v="0.19533576264451658"/>
  </r>
  <r>
    <x v="5"/>
    <n v="87"/>
    <n v="21.53"/>
    <n v="15.68"/>
    <n v="3.6406417151960024E-2"/>
    <n v="0.2568836794242299"/>
  </r>
  <r>
    <x v="5"/>
    <n v="88"/>
    <n v="16.87"/>
    <n v="14.59"/>
    <n v="2.2352188256860733E-2"/>
    <n v="0.14675329200041914"/>
  </r>
  <r>
    <x v="5"/>
    <n v="89"/>
    <n v="22.33"/>
    <n v="15.85"/>
    <n v="3.9162222227688982E-2"/>
    <n v="0.2793245500389917"/>
  </r>
  <r>
    <x v="5"/>
    <n v="90"/>
    <n v="14.73"/>
    <n v="13.99"/>
    <n v="1.7041011716701821E-2"/>
    <n v="0.10728168926249633"/>
  </r>
  <r>
    <x v="5"/>
    <n v="91"/>
    <n v="8.76"/>
    <n v="11.66"/>
    <n v="6.0269570103528023E-3"/>
    <n v="3.1623443433321151E-2"/>
  </r>
  <r>
    <x v="5"/>
    <n v="92"/>
    <n v="21.86"/>
    <n v="15.75"/>
    <n v="3.7531005220183926E-2"/>
    <n v="0.26600099949805361"/>
  </r>
  <r>
    <x v="5"/>
    <n v="93"/>
    <n v="23.36"/>
    <n v="16.05"/>
    <n v="4.2858360962508814E-2"/>
    <n v="0.30954451205171996"/>
  </r>
  <r>
    <x v="5"/>
    <n v="94"/>
    <n v="18.86"/>
    <n v="15.09"/>
    <n v="2.7936581256120696E-2"/>
    <n v="0.18970335501968758"/>
  </r>
  <r>
    <x v="5"/>
    <n v="95"/>
    <n v="22.02"/>
    <n v="15.78"/>
    <n v="3.8082417562742006E-2"/>
    <n v="0.27042324711303095"/>
  </r>
  <r>
    <x v="5"/>
    <n v="96"/>
    <n v="15.38"/>
    <n v="14.18"/>
    <n v="1.8578153732195138E-2"/>
    <n v="0.11854719896513717"/>
  </r>
  <r>
    <x v="5"/>
    <n v="97"/>
    <n v="19.489999999999998"/>
    <n v="15.24"/>
    <n v="2.9834142488797101E-2"/>
    <n v="0.20460254918817053"/>
  </r>
  <r>
    <x v="5"/>
    <n v="98"/>
    <n v="12.23"/>
    <n v="13.15"/>
    <n v="1.174742809540302E-2"/>
    <n v="6.9515405754547371E-2"/>
  </r>
  <r>
    <x v="5"/>
    <n v="99"/>
    <n v="24.72"/>
    <n v="16.3"/>
    <n v="4.7993985305185123E-2"/>
    <n v="0.35203588221353288"/>
  </r>
  <r>
    <x v="5"/>
    <n v="100"/>
    <n v="27.44"/>
    <n v="16.77"/>
    <n v="5.9136837456349692E-2"/>
    <n v="0.44627614386434294"/>
  </r>
  <r>
    <x v="6"/>
    <n v="1"/>
    <n v="24.3"/>
    <n v="16.96"/>
    <n v="4.6376976150455926E-2"/>
    <n v="0.35394908198027969"/>
  </r>
  <r>
    <x v="6"/>
    <n v="2"/>
    <n v="19.89"/>
    <n v="16.02"/>
    <n v="3.1071301675780764E-2"/>
    <n v="0.22399301378070352"/>
  </r>
  <r>
    <x v="6"/>
    <n v="3"/>
    <n v="19.87"/>
    <n v="16.010000000000002"/>
    <n v="3.1008846813827404E-2"/>
    <n v="0.22340323687021957"/>
  </r>
  <r>
    <x v="6"/>
    <n v="4"/>
    <n v="13.94"/>
    <n v="14.35"/>
    <n v="1.526213985447804E-2"/>
    <n v="9.8555268110291944E-2"/>
  </r>
  <r>
    <x v="6"/>
    <n v="5"/>
    <n v="23.16"/>
    <n v="16.73"/>
    <n v="4.2127626511283829E-2"/>
    <n v="0.31715783619020033"/>
  </r>
  <r>
    <x v="6"/>
    <n v="6"/>
    <n v="19.16"/>
    <n v="15.84"/>
    <n v="2.8832406401291824E-2"/>
    <n v="0.20551739282840811"/>
  </r>
  <r>
    <x v="6"/>
    <n v="7"/>
    <n v="17.37"/>
    <n v="15.39"/>
    <n v="2.3696789912597157E-2"/>
    <n v="0.16411211853969163"/>
  </r>
  <r>
    <x v="6"/>
    <n v="8"/>
    <n v="14.35"/>
    <n v="14.49"/>
    <n v="1.6173115330221102E-2"/>
    <n v="0.1054567985107067"/>
  </r>
  <r>
    <x v="6"/>
    <n v="9"/>
    <n v="18.8"/>
    <n v="15.76"/>
    <n v="2.7759112687119416E-2"/>
    <n v="0.19686762717705089"/>
  </r>
  <r>
    <x v="6"/>
    <n v="10"/>
    <n v="16.600000000000001"/>
    <n v="15.17"/>
    <n v="2.1642431790580091E-2"/>
    <n v="0.14774206061839498"/>
  </r>
  <r>
    <x v="6"/>
    <n v="11"/>
    <n v="18.41"/>
    <n v="15.66"/>
    <n v="2.6619350726378672E-2"/>
    <n v="0.18758656456879053"/>
  </r>
  <r>
    <x v="6"/>
    <n v="12"/>
    <n v="15.13"/>
    <n v="14.74"/>
    <n v="1.7979091283063735E-2"/>
    <n v="0.11925531248056177"/>
  </r>
  <r>
    <x v="6"/>
    <n v="13"/>
    <n v="26.75"/>
    <n v="17.41"/>
    <n v="5.6200147329608659E-2"/>
    <n v="0.44030005425381907"/>
  </r>
  <r>
    <x v="6"/>
    <n v="14"/>
    <n v="19.940000000000001"/>
    <n v="16.03"/>
    <n v="3.122771372002137E-2"/>
    <n v="0.22526111291937417"/>
  </r>
  <r>
    <x v="6"/>
    <n v="15"/>
    <n v="24.3"/>
    <n v="16.96"/>
    <n v="4.6376976150455926E-2"/>
    <n v="0.35394908198027969"/>
  </r>
  <r>
    <x v="6"/>
    <n v="16"/>
    <n v="9.59"/>
    <n v="12.61"/>
    <n v="7.2231576831152866E-3"/>
    <n v="4.0987808272837691E-2"/>
  </r>
  <r>
    <x v="6"/>
    <n v="17"/>
    <n v="18.190000000000001"/>
    <n v="15.6"/>
    <n v="2.5986948125211046E-2"/>
    <n v="0.18242837583898155"/>
  </r>
  <r>
    <x v="6"/>
    <n v="18"/>
    <n v="17.3"/>
    <n v="15.37"/>
    <n v="2.350618163232223E-2"/>
    <n v="0.16258050525995671"/>
  </r>
  <r>
    <x v="6"/>
    <n v="19"/>
    <n v="15.11"/>
    <n v="14.73"/>
    <n v="1.7931590402141456E-2"/>
    <n v="0.11885954698059464"/>
  </r>
  <r>
    <x v="6"/>
    <n v="20"/>
    <n v="26.19"/>
    <n v="17.309999999999999"/>
    <n v="5.3871724518474051E-2"/>
    <n v="0.41963379813665358"/>
  </r>
  <r>
    <x v="6"/>
    <n v="21"/>
    <n v="14.34"/>
    <n v="14.49"/>
    <n v="1.615058225691323E-2"/>
    <n v="0.10530987160620271"/>
  </r>
  <r>
    <x v="6"/>
    <n v="22"/>
    <n v="21.27"/>
    <n v="16.329999999999998"/>
    <n v="3.5532426075731344E-2"/>
    <n v="0.26111003301751173"/>
  </r>
  <r>
    <x v="6"/>
    <n v="23"/>
    <n v="23.39"/>
    <n v="16.78"/>
    <n v="4.2968513054925321E-2"/>
    <n v="0.32445524207774112"/>
  </r>
  <r>
    <x v="6"/>
    <n v="24"/>
    <n v="20.71"/>
    <n v="16.21"/>
    <n v="3.3686049241363557E-2"/>
    <n v="0.2457228861911265"/>
  </r>
  <r>
    <x v="6"/>
    <n v="25"/>
    <n v="16.5"/>
    <n v="15.14"/>
    <n v="2.138246499849553E-2"/>
    <n v="0.14567873403475004"/>
  </r>
  <r>
    <x v="6"/>
    <n v="26"/>
    <n v="23.76"/>
    <n v="16.850000000000001"/>
    <n v="4.4338679420880336E-2"/>
    <n v="0.3361980367088252"/>
  </r>
  <r>
    <x v="6"/>
    <n v="27"/>
    <n v="20.68"/>
    <n v="16.2"/>
    <n v="3.3588526351414488E-2"/>
    <n v="0.24486035710181164"/>
  </r>
  <r>
    <x v="6"/>
    <n v="28"/>
    <n v="15.75"/>
    <n v="14.93"/>
    <n v="1.9482783190777953E-2"/>
    <n v="0.13089507886724167"/>
  </r>
  <r>
    <x v="6"/>
    <n v="29"/>
    <n v="14.45"/>
    <n v="14.52"/>
    <n v="1.6399310001279567E-2"/>
    <n v="0.10715309154836068"/>
  </r>
  <r>
    <x v="6"/>
    <n v="30"/>
    <n v="28.35"/>
    <n v="17.68"/>
    <n v="6.3124217538120572E-2"/>
    <n v="0.50221627473328734"/>
  </r>
  <r>
    <x v="6"/>
    <n v="31"/>
    <n v="17.29"/>
    <n v="15.36"/>
    <n v="2.347901470985031E-2"/>
    <n v="0.16228694967448534"/>
  </r>
  <r>
    <x v="6"/>
    <n v="32"/>
    <n v="12.58"/>
    <n v="13.87"/>
    <n v="1.2429428590589193E-2"/>
    <n v="7.7578278548162447E-2"/>
  </r>
  <r>
    <x v="6"/>
    <n v="33"/>
    <n v="22.13"/>
    <n v="16.52"/>
    <n v="3.8463846180795971E-2"/>
    <n v="0.28594023250803724"/>
  </r>
  <r>
    <x v="6"/>
    <n v="34"/>
    <n v="21.24"/>
    <n v="16.329999999999998"/>
    <n v="3.543226424795326E-2"/>
    <n v="0.2603739938260845"/>
  </r>
  <r>
    <x v="6"/>
    <n v="35"/>
    <n v="14.58"/>
    <n v="14.57"/>
    <n v="1.6695711414164136E-2"/>
    <n v="0.10946543188696715"/>
  </r>
  <r>
    <x v="6"/>
    <n v="36"/>
    <n v="12.23"/>
    <n v="13.74"/>
    <n v="1.174742809540302E-2"/>
    <n v="7.2634347913876865E-2"/>
  </r>
  <r>
    <x v="6"/>
    <n v="37"/>
    <n v="19.53"/>
    <n v="15.93"/>
    <n v="2.9956727434140181E-2"/>
    <n v="0.2147448006116339"/>
  </r>
  <r>
    <x v="6"/>
    <n v="38"/>
    <n v="24.56"/>
    <n v="17.010000000000002"/>
    <n v="4.7374714561309504E-2"/>
    <n v="0.36262975260954367"/>
  </r>
  <r>
    <x v="6"/>
    <n v="39"/>
    <n v="22.54"/>
    <n v="16.61"/>
    <n v="3.99022793551135E-2"/>
    <n v="0.29824958703979582"/>
  </r>
  <r>
    <x v="6"/>
    <n v="40"/>
    <n v="18.03"/>
    <n v="15.56"/>
    <n v="2.5531794181558959E-2"/>
    <n v="0.17877362285927584"/>
  </r>
  <r>
    <x v="6"/>
    <n v="41"/>
    <n v="16.66"/>
    <n v="15.19"/>
    <n v="2.1799165848067681E-2"/>
    <n v="0.14900819815446661"/>
  </r>
  <r>
    <x v="6"/>
    <n v="42"/>
    <n v="21.08"/>
    <n v="16.29"/>
    <n v="3.490045544355358E-2"/>
    <n v="0.2558377886289695"/>
  </r>
  <r>
    <x v="6"/>
    <n v="43"/>
    <n v="20.63"/>
    <n v="16.190000000000001"/>
    <n v="3.3426302360764742E-2"/>
    <n v="0.24352732584935158"/>
  </r>
  <r>
    <x v="6"/>
    <n v="44"/>
    <n v="22.52"/>
    <n v="16.600000000000001"/>
    <n v="3.9831499272628121E-2"/>
    <n v="0.29754129956653208"/>
  </r>
  <r>
    <x v="6"/>
    <n v="45"/>
    <n v="18.420000000000002"/>
    <n v="15.66"/>
    <n v="2.6648276940736598E-2"/>
    <n v="0.18779040760137081"/>
  </r>
  <r>
    <x v="6"/>
    <n v="46"/>
    <n v="23.6"/>
    <n v="16.82"/>
    <n v="4.374353610858428E-2"/>
    <n v="0.33109482480587443"/>
  </r>
  <r>
    <x v="6"/>
    <n v="47"/>
    <n v="16.68"/>
    <n v="15.19"/>
    <n v="2.1851536197603022E-2"/>
    <n v="0.14936617567871546"/>
  </r>
  <r>
    <x v="6"/>
    <n v="48"/>
    <n v="18.68"/>
    <n v="15.72"/>
    <n v="2.7405872009149772E-2"/>
    <n v="0.1938691385927255"/>
  </r>
  <r>
    <x v="6"/>
    <n v="49"/>
    <n v="22.96"/>
    <n v="16.690000000000001"/>
    <n v="4.1403175245366027E-2"/>
    <n v="0.31095854768032161"/>
  </r>
  <r>
    <x v="6"/>
    <n v="50"/>
    <n v="23.96"/>
    <n v="16.89"/>
    <n v="4.508826342802686E-2"/>
    <n v="0.34269334618471814"/>
  </r>
  <r>
    <x v="6"/>
    <n v="51"/>
    <n v="12.25"/>
    <n v="13.75"/>
    <n v="1.1785881189482959E-2"/>
    <n v="7.2925139859925811E-2"/>
  </r>
  <r>
    <x v="6"/>
    <n v="52"/>
    <n v="20.43"/>
    <n v="16.14"/>
    <n v="3.2781333388982759E-2"/>
    <n v="0.23809082440418181"/>
  </r>
  <r>
    <x v="6"/>
    <n v="53"/>
    <n v="22.44"/>
    <n v="16.579999999999998"/>
    <n v="3.9549007261217337E-2"/>
    <n v="0.29507514317594252"/>
  </r>
  <r>
    <x v="6"/>
    <n v="54"/>
    <n v="14.2"/>
    <n v="14.44"/>
    <n v="1.5836768566746148E-2"/>
    <n v="0.10290732214671647"/>
  </r>
  <r>
    <x v="6"/>
    <n v="55"/>
    <n v="21.92"/>
    <n v="16.47"/>
    <n v="3.7737313609745173E-2"/>
    <n v="0.27969009981862636"/>
  </r>
  <r>
    <x v="6"/>
    <n v="56"/>
    <n v="16.690000000000001"/>
    <n v="15.2"/>
    <n v="2.1877744934315595E-2"/>
    <n v="0.14964377535071866"/>
  </r>
  <r>
    <x v="6"/>
    <n v="57"/>
    <n v="24.08"/>
    <n v="16.91"/>
    <n v="4.5541029761262203E-2"/>
    <n v="0.34654446596832472"/>
  </r>
  <r>
    <x v="6"/>
    <n v="58"/>
    <n v="22.15"/>
    <n v="16.52"/>
    <n v="3.8533401042146455E-2"/>
    <n v="0.28645730334731678"/>
  </r>
  <r>
    <x v="6"/>
    <n v="59"/>
    <n v="23.08"/>
    <n v="16.71"/>
    <n v="4.1837092022679843E-2"/>
    <n v="0.31459401346454113"/>
  </r>
  <r>
    <x v="6"/>
    <n v="60"/>
    <n v="20.48"/>
    <n v="16.16"/>
    <n v="3.2941986583305709E-2"/>
    <n v="0.23955412643379911"/>
  </r>
  <r>
    <x v="6"/>
    <n v="61"/>
    <n v="23.45"/>
    <n v="16.79"/>
    <n v="4.3189241354766525E-2"/>
    <n v="0.32631631305593845"/>
  </r>
  <r>
    <x v="6"/>
    <n v="62"/>
    <n v="25.52"/>
    <n v="17.190000000000001"/>
    <n v="5.1150657603512152E-2"/>
    <n v="0.39567591189196832"/>
  </r>
  <r>
    <x v="6"/>
    <n v="63"/>
    <n v="27.86"/>
    <n v="17.600000000000001"/>
    <n v="6.0961003230656605E-2"/>
    <n v="0.48281114558680033"/>
  </r>
  <r>
    <x v="6"/>
    <n v="64"/>
    <n v="19.89"/>
    <n v="16.02"/>
    <n v="3.1071301675780764E-2"/>
    <n v="0.22399301378070352"/>
  </r>
  <r>
    <x v="6"/>
    <n v="65"/>
    <n v="11"/>
    <n v="13.25"/>
    <n v="9.5033177771091243E-3"/>
    <n v="5.6663532246013157E-2"/>
  </r>
  <r>
    <x v="6"/>
    <n v="66"/>
    <n v="20.13"/>
    <n v="16.07"/>
    <n v="3.1825660903760739E-2"/>
    <n v="0.23014726682554582"/>
  </r>
  <r>
    <x v="6"/>
    <n v="67"/>
    <n v="20.82"/>
    <n v="16.23"/>
    <n v="3.404484268434841E-2"/>
    <n v="0.24864650854513864"/>
  </r>
  <r>
    <x v="6"/>
    <n v="68"/>
    <n v="19.38"/>
    <n v="15.9"/>
    <n v="2.9498329796073256E-2"/>
    <n v="0.21106054969090415"/>
  </r>
  <r>
    <x v="6"/>
    <n v="69"/>
    <n v="22.27"/>
    <n v="16.55"/>
    <n v="3.8952049679163832E-2"/>
    <n v="0.29009538998557266"/>
  </r>
  <r>
    <x v="6"/>
    <n v="70"/>
    <n v="24.04"/>
    <n v="16.91"/>
    <n v="4.5389856322771475E-2"/>
    <n v="0.34539411168812956"/>
  </r>
  <r>
    <x v="6"/>
    <n v="71"/>
    <n v="17.93"/>
    <n v="15.53"/>
    <n v="2.5249365002001228E-2"/>
    <n v="0.17645518731648557"/>
  </r>
  <r>
    <x v="6"/>
    <n v="72"/>
    <n v="18.82"/>
    <n v="15.76"/>
    <n v="2.7818206044933437E-2"/>
    <n v="0.19728671727066793"/>
  </r>
  <r>
    <x v="6"/>
    <n v="73"/>
    <n v="21.59"/>
    <n v="16.399999999999999"/>
    <n v="3.6609615364794214E-2"/>
    <n v="0.27017896139218128"/>
  </r>
  <r>
    <x v="6"/>
    <n v="74"/>
    <n v="17.8"/>
    <n v="15.5"/>
    <n v="2.4884555409084755E-2"/>
    <n v="0.17356977397836618"/>
  </r>
  <r>
    <x v="6"/>
    <n v="75"/>
    <n v="20.37"/>
    <n v="16.13"/>
    <n v="3.2589067918583063E-2"/>
    <n v="0.23654774948703514"/>
  </r>
  <r>
    <x v="6"/>
    <n v="76"/>
    <n v="12.15"/>
    <n v="13.71"/>
    <n v="1.1594244037613981E-2"/>
    <n v="7.1530688590059469E-2"/>
  </r>
  <r>
    <x v="6"/>
    <n v="77"/>
    <n v="15.52"/>
    <n v="14.86"/>
    <n v="1.8917916977680874E-2"/>
    <n v="0.12650411082975199"/>
  </r>
  <r>
    <x v="6"/>
    <n v="78"/>
    <n v="14.69"/>
    <n v="14.6"/>
    <n v="1.6948586060833208E-2"/>
    <n v="0.11135221041967418"/>
  </r>
  <r>
    <x v="6"/>
    <n v="79"/>
    <n v="16.59"/>
    <n v="15.17"/>
    <n v="2.1616364425536924E-2"/>
    <n v="0.14756411175092782"/>
  </r>
  <r>
    <x v="6"/>
    <n v="80"/>
    <n v="17.23"/>
    <n v="15.35"/>
    <n v="2.3316343042247435E-2"/>
    <n v="0.16105763956432417"/>
  </r>
  <r>
    <x v="6"/>
    <n v="81"/>
    <n v="21.53"/>
    <n v="16.39"/>
    <n v="3.6406417151960024E-2"/>
    <n v="0.26851552970428122"/>
  </r>
  <r>
    <x v="6"/>
    <n v="82"/>
    <n v="23.93"/>
    <n v="16.88"/>
    <n v="4.4975425273891548E-2"/>
    <n v="0.34163333038048016"/>
  </r>
  <r>
    <x v="6"/>
    <n v="83"/>
    <n v="17.09"/>
    <n v="15.31"/>
    <n v="2.2938974932698229E-2"/>
    <n v="0.15803806779882446"/>
  </r>
  <r>
    <x v="6"/>
    <n v="84"/>
    <n v="16.010000000000002"/>
    <n v="15"/>
    <n v="2.0131333578185029E-2"/>
    <n v="0.13588650165274896"/>
  </r>
  <r>
    <x v="6"/>
    <n v="85"/>
    <n v="15.83"/>
    <n v="14.95"/>
    <n v="1.9681206182778684E-2"/>
    <n v="0.13240531459464361"/>
  </r>
  <r>
    <x v="6"/>
    <n v="86"/>
    <n v="18.34"/>
    <n v="15.64"/>
    <n v="2.6417307048844672E-2"/>
    <n v="0.18592500700976883"/>
  </r>
  <r>
    <x v="6"/>
    <n v="87"/>
    <n v="19.04"/>
    <n v="15.82"/>
    <n v="2.847237988319044E-2"/>
    <n v="0.20269487238843276"/>
  </r>
  <r>
    <x v="6"/>
    <n v="88"/>
    <n v="21.93"/>
    <n v="16.48"/>
    <n v="3.777175331921015E-2"/>
    <n v="0.28011532261526245"/>
  </r>
  <r>
    <x v="6"/>
    <n v="89"/>
    <n v="18.71"/>
    <n v="15.73"/>
    <n v="2.7493970121138075E-2"/>
    <n v="0.19461606750247587"/>
  </r>
  <r>
    <x v="6"/>
    <n v="90"/>
    <n v="11.69"/>
    <n v="13.53"/>
    <n v="1.0732944995705802E-2"/>
    <n v="6.534753560635477E-2"/>
  </r>
  <r>
    <x v="6"/>
    <n v="91"/>
    <n v="19.63"/>
    <n v="15.96"/>
    <n v="3.0264289354926616E-2"/>
    <n v="0.21735812614708297"/>
  </r>
  <r>
    <x v="6"/>
    <n v="92"/>
    <n v="24.75"/>
    <n v="17.04"/>
    <n v="4.8110546246614941E-2"/>
    <n v="0.36891166861904334"/>
  </r>
  <r>
    <x v="6"/>
    <n v="93"/>
    <n v="24.77"/>
    <n v="17.05"/>
    <n v="4.8188332080717829E-2"/>
    <n v="0.36972497788930758"/>
  </r>
  <r>
    <x v="6"/>
    <n v="94"/>
    <n v="16.84"/>
    <n v="15.24"/>
    <n v="2.2272760940596343E-2"/>
    <n v="0.15274659453060971"/>
  </r>
  <r>
    <x v="6"/>
    <n v="95"/>
    <n v="13.81"/>
    <n v="14.31"/>
    <n v="1.4978807467032411E-2"/>
    <n v="9.645603068395521E-2"/>
  </r>
  <r>
    <x v="6"/>
    <n v="96"/>
    <n v="29.83"/>
    <n v="17.920000000000002"/>
    <n v="6.9886998379797158E-2"/>
    <n v="0.56356875493468439"/>
  </r>
  <r>
    <x v="6"/>
    <n v="97"/>
    <n v="19.350000000000001"/>
    <n v="15.89"/>
    <n v="2.9407074383468113E-2"/>
    <n v="0.21027528537898876"/>
  </r>
  <r>
    <x v="6"/>
    <n v="98"/>
    <n v="19.61"/>
    <n v="15.95"/>
    <n v="3.0202651307063188E-2"/>
    <n v="0.21677952975644602"/>
  </r>
  <r>
    <x v="6"/>
    <n v="99"/>
    <n v="21.68"/>
    <n v="16.420000000000002"/>
    <n v="3.6915472971566075E-2"/>
    <n v="0.27276842978690174"/>
  </r>
  <r>
    <x v="6"/>
    <n v="100"/>
    <n v="13.54"/>
    <n v="14.22"/>
    <n v="1.4398830193271562E-2"/>
    <n v="9.2138114406744728E-2"/>
  </r>
  <r>
    <x v="7"/>
    <n v="1"/>
    <n v="17.09"/>
    <n v="12.06"/>
    <n v="2.2938974932698229E-2"/>
    <n v="0.12448981695975331"/>
  </r>
  <r>
    <x v="7"/>
    <n v="2"/>
    <n v="13.84"/>
    <n v="11.28"/>
    <n v="1.5043956244686229E-2"/>
    <n v="7.6363121898027297E-2"/>
  </r>
  <r>
    <x v="7"/>
    <n v="3"/>
    <n v="17.23"/>
    <n v="12.09"/>
    <n v="2.3316343042247435E-2"/>
    <n v="0.12685256432134717"/>
  </r>
  <r>
    <x v="7"/>
    <n v="4"/>
    <n v="20.48"/>
    <n v="12.72"/>
    <n v="3.2941986583305709E-2"/>
    <n v="0.1885599312028419"/>
  </r>
  <r>
    <x v="7"/>
    <n v="5"/>
    <n v="14.54"/>
    <n v="11.46"/>
    <n v="1.6604228236091596E-2"/>
    <n v="8.5628005013524369E-2"/>
  </r>
  <r>
    <x v="7"/>
    <n v="6"/>
    <n v="22.36"/>
    <n v="13.05"/>
    <n v="3.9267520559455683E-2"/>
    <n v="0.23059851448540353"/>
  </r>
  <r>
    <x v="7"/>
    <n v="7"/>
    <n v="21.16"/>
    <n v="12.84"/>
    <n v="3.5165857190928851E-2"/>
    <n v="0.20318832284918689"/>
  </r>
  <r>
    <x v="7"/>
    <n v="8"/>
    <n v="16.38"/>
    <n v="11.9"/>
    <n v="2.1072578299145432E-2"/>
    <n v="0.1128436567919238"/>
  </r>
  <r>
    <x v="7"/>
    <n v="9"/>
    <n v="20.91"/>
    <n v="12.8"/>
    <n v="3.4339814672575582E-2"/>
    <n v="0.19779733251403536"/>
  </r>
  <r>
    <x v="7"/>
    <n v="10"/>
    <n v="22.99"/>
    <n v="13.15"/>
    <n v="4.1511442382190358E-2"/>
    <n v="0.24564396029661148"/>
  </r>
  <r>
    <x v="7"/>
    <n v="11"/>
    <n v="24.24"/>
    <n v="13.35"/>
    <n v="4.6148236789348047E-2"/>
    <n v="0.27723553251200839"/>
  </r>
  <r>
    <x v="7"/>
    <n v="12"/>
    <n v="19.149999999999999"/>
    <n v="12.48"/>
    <n v="2.8802317797652067E-2"/>
    <n v="0.16175381675161402"/>
  </r>
  <r>
    <x v="7"/>
    <n v="13"/>
    <n v="19.63"/>
    <n v="12.57"/>
    <n v="3.0264289354926616E-2"/>
    <n v="0.1711899527361424"/>
  </r>
  <r>
    <x v="7"/>
    <n v="14"/>
    <n v="19.649999999999999"/>
    <n v="12.57"/>
    <n v="3.0325990234643121E-2"/>
    <n v="0.17153896376225883"/>
  </r>
  <r>
    <x v="7"/>
    <n v="15"/>
    <n v="25.77"/>
    <n v="13.57"/>
    <n v="5.2157734398528534E-2"/>
    <n v="0.31850120510461449"/>
  </r>
  <r>
    <x v="7"/>
    <n v="16"/>
    <n v="24.5"/>
    <n v="13.38"/>
    <n v="4.7143524757931835E-2"/>
    <n v="0.28385116256750764"/>
  </r>
  <r>
    <x v="7"/>
    <n v="17"/>
    <n v="23.34"/>
    <n v="13.21"/>
    <n v="4.2785004774047494E-2"/>
    <n v="0.25433546087932535"/>
  </r>
  <r>
    <x v="7"/>
    <n v="18"/>
    <n v="18.850000000000001"/>
    <n v="12.42"/>
    <n v="2.7906963891378984E-2"/>
    <n v="0.15597202118891715"/>
  </r>
  <r>
    <x v="7"/>
    <n v="19"/>
    <n v="21.49"/>
    <n v="12.9"/>
    <n v="3.6271265836002584E-2"/>
    <n v="0.21055469817799502"/>
  </r>
  <r>
    <x v="7"/>
    <n v="20"/>
    <n v="21.61"/>
    <n v="12.92"/>
    <n v="3.6677473766111753E-2"/>
    <n v="0.21324283247617373"/>
  </r>
  <r>
    <x v="7"/>
    <n v="21"/>
    <n v="15.83"/>
    <n v="11.78"/>
    <n v="1.9681206182778684E-2"/>
    <n v="0.1043300739749098"/>
  </r>
  <r>
    <x v="7"/>
    <n v="22"/>
    <n v="13.09"/>
    <n v="11.07"/>
    <n v="1.3457648304164229E-2"/>
    <n v="6.7039275027194103E-2"/>
  </r>
  <r>
    <x v="7"/>
    <n v="23"/>
    <n v="22.57"/>
    <n v="13.08"/>
    <n v="4.0008567288566083E-2"/>
    <n v="0.23549042706049994"/>
  </r>
  <r>
    <x v="7"/>
    <n v="24"/>
    <n v="13.88"/>
    <n v="11.29"/>
    <n v="1.5131041193043737E-2"/>
    <n v="7.6873254781258712E-2"/>
  </r>
  <r>
    <x v="7"/>
    <n v="25"/>
    <n v="20.010000000000002"/>
    <n v="12.64"/>
    <n v="3.1447350316415469E-2"/>
    <n v="0.17887252859977121"/>
  </r>
  <r>
    <x v="7"/>
    <n v="26"/>
    <n v="21"/>
    <n v="12.82"/>
    <n v="3.4636059005827467E-2"/>
    <n v="0.19981542440461869"/>
  </r>
  <r>
    <x v="7"/>
    <n v="27"/>
    <n v="22.26"/>
    <n v="13.03"/>
    <n v="3.8917075898947752E-2"/>
    <n v="0.22819027453348012"/>
  </r>
  <r>
    <x v="7"/>
    <n v="28"/>
    <n v="20.76"/>
    <n v="12.77"/>
    <n v="3.3848901550544014E-2"/>
    <n v="0.19451271276020118"/>
  </r>
  <r>
    <x v="7"/>
    <n v="29"/>
    <n v="17.07"/>
    <n v="12.05"/>
    <n v="2.2885316530174914E-2"/>
    <n v="0.12409562888487348"/>
  </r>
  <r>
    <x v="7"/>
    <n v="30"/>
    <n v="23.95"/>
    <n v="13.3"/>
    <n v="4.5050635002018481E-2"/>
    <n v="0.26962805048708061"/>
  </r>
  <r>
    <x v="7"/>
    <n v="31"/>
    <n v="26.95"/>
    <n v="13.74"/>
    <n v="5.704366495709752E-2"/>
    <n v="0.35270098042973397"/>
  </r>
  <r>
    <x v="7"/>
    <n v="32"/>
    <n v="23.52"/>
    <n v="13.24"/>
    <n v="4.3447472416909973E-2"/>
    <n v="0.25886004065994961"/>
  </r>
  <r>
    <x v="7"/>
    <n v="33"/>
    <n v="12.23"/>
    <n v="10.82"/>
    <n v="1.174742809540302E-2"/>
    <n v="5.7198227396517309E-2"/>
  </r>
  <r>
    <x v="7"/>
    <n v="34"/>
    <n v="25.6"/>
    <n v="13.55"/>
    <n v="5.1471854036415174E-2"/>
    <n v="0.31384962998704152"/>
  </r>
  <r>
    <x v="7"/>
    <n v="35"/>
    <n v="19.78"/>
    <n v="12.6"/>
    <n v="3.0728577479219026E-2"/>
    <n v="0.17423103430717188"/>
  </r>
  <r>
    <x v="7"/>
    <n v="36"/>
    <n v="22.1"/>
    <n v="13"/>
    <n v="3.8359631698494781E-2"/>
    <n v="0.22440384543619446"/>
  </r>
  <r>
    <x v="7"/>
    <n v="37"/>
    <n v="22.49"/>
    <n v="13.07"/>
    <n v="3.9725446958624566E-2"/>
    <n v="0.23364521628715038"/>
  </r>
  <r>
    <x v="7"/>
    <n v="38"/>
    <n v="19.61"/>
    <n v="12.56"/>
    <n v="3.0202651307063188E-2"/>
    <n v="0.17070538518752115"/>
  </r>
  <r>
    <x v="7"/>
    <n v="39"/>
    <n v="19.7"/>
    <n v="12.58"/>
    <n v="3.0480517323291569E-2"/>
    <n v="0.17255020856715356"/>
  </r>
  <r>
    <x v="7"/>
    <n v="40"/>
    <n v="24.08"/>
    <n v="13.32"/>
    <n v="4.5541029761262203E-2"/>
    <n v="0.27297293238900566"/>
  </r>
  <r>
    <x v="7"/>
    <n v="41"/>
    <n v="22.85"/>
    <n v="13.13"/>
    <n v="4.1007405256848428E-2"/>
    <n v="0.24229225396008894"/>
  </r>
  <r>
    <x v="7"/>
    <n v="42"/>
    <n v="23.96"/>
    <n v="13.3"/>
    <n v="4.508826342802686E-2"/>
    <n v="0.26985325661674081"/>
  </r>
  <r>
    <x v="7"/>
    <n v="43"/>
    <n v="29.53"/>
    <n v="14.07"/>
    <n v="6.8488361330418995E-2"/>
    <n v="0.43363405976354785"/>
  </r>
  <r>
    <x v="7"/>
    <n v="44"/>
    <n v="22.66"/>
    <n v="13.1"/>
    <n v="4.0328279318940279E-2"/>
    <n v="0.23773520658515293"/>
  </r>
  <r>
    <x v="7"/>
    <n v="45"/>
    <n v="20.83"/>
    <n v="12.79"/>
    <n v="3.4077554517853909E-2"/>
    <n v="0.19613336502750817"/>
  </r>
  <r>
    <x v="7"/>
    <n v="46"/>
    <n v="11.16"/>
    <n v="10.49"/>
    <n v="9.7817885499233235E-3"/>
    <n v="4.6174932849913045E-2"/>
  </r>
  <r>
    <x v="7"/>
    <n v="47"/>
    <n v="30.77"/>
    <n v="14.22"/>
    <n v="7.436094047777439E-2"/>
    <n v="0.47583565811727835"/>
  </r>
  <r>
    <x v="7"/>
    <n v="48"/>
    <n v="18.07"/>
    <n v="12.26"/>
    <n v="2.5645205676353543E-2"/>
    <n v="0.14148459971644251"/>
  </r>
  <r>
    <x v="7"/>
    <n v="49"/>
    <n v="29.5"/>
    <n v="14.07"/>
    <n v="6.8349275169662937E-2"/>
    <n v="0.43275343573672087"/>
  </r>
  <r>
    <x v="7"/>
    <n v="50"/>
    <n v="21.5"/>
    <n v="12.9"/>
    <n v="3.6305030103047045E-2"/>
    <n v="0.21075069974818811"/>
  </r>
  <r>
    <x v="7"/>
    <n v="51"/>
    <n v="26.15"/>
    <n v="13.63"/>
    <n v="5.3707293558985146E-2"/>
    <n v="0.32941368504403545"/>
  </r>
  <r>
    <x v="7"/>
    <n v="52"/>
    <n v="19.559999999999999"/>
    <n v="12.56"/>
    <n v="3.0048831076761793E-2"/>
    <n v="0.16983599324585766"/>
  </r>
  <r>
    <x v="7"/>
    <n v="53"/>
    <n v="22.05"/>
    <n v="13"/>
    <n v="3.8186255053924791E-2"/>
    <n v="0.22338959206546002"/>
  </r>
  <r>
    <x v="7"/>
    <n v="54"/>
    <n v="20.86"/>
    <n v="12.79"/>
    <n v="3.4175784266150026E-2"/>
    <n v="0.19669872634382649"/>
  </r>
  <r>
    <x v="7"/>
    <n v="55"/>
    <n v="19.260000000000002"/>
    <n v="12.5"/>
    <n v="2.9134156375669136E-2"/>
    <n v="0.1638796296131389"/>
  </r>
  <r>
    <x v="7"/>
    <n v="56"/>
    <n v="19.52"/>
    <n v="12.55"/>
    <n v="2.9926057635859506E-2"/>
    <n v="0.16900741049851656"/>
  </r>
  <r>
    <x v="7"/>
    <n v="57"/>
    <n v="24.05"/>
    <n v="13.32"/>
    <n v="4.542762612044926E-2"/>
    <n v="0.27229319096597288"/>
  </r>
  <r>
    <x v="7"/>
    <n v="58"/>
    <n v="19.190000000000001"/>
    <n v="12.49"/>
    <n v="2.8922766459990708E-2"/>
    <n v="0.16256040888837778"/>
  </r>
  <r>
    <x v="7"/>
    <n v="59"/>
    <n v="11.85"/>
    <n v="10.71"/>
    <n v="1.1028757359967816E-2"/>
    <n v="5.3153096096364892E-2"/>
  </r>
  <r>
    <x v="7"/>
    <n v="60"/>
    <n v="19.22"/>
    <n v="12.49"/>
    <n v="2.901326789035899E-2"/>
    <n v="0.16306907217776273"/>
  </r>
  <r>
    <x v="7"/>
    <n v="61"/>
    <n v="22.16"/>
    <n v="13.01"/>
    <n v="3.8568202034766595E-2"/>
    <n v="0.22579753881254103"/>
  </r>
  <r>
    <x v="7"/>
    <n v="62"/>
    <n v="22.47"/>
    <n v="13.07"/>
    <n v="3.9654823955771863E-2"/>
    <n v="0.23322984709587222"/>
  </r>
  <r>
    <x v="7"/>
    <n v="63"/>
    <n v="22.47"/>
    <n v="13.07"/>
    <n v="3.9654823955771863E-2"/>
    <n v="0.23322984709587222"/>
  </r>
  <r>
    <x v="7"/>
    <n v="64"/>
    <n v="13.23"/>
    <n v="11.11"/>
    <n v="1.3747051819412923E-2"/>
    <n v="6.8728385571154904E-2"/>
  </r>
  <r>
    <x v="7"/>
    <n v="65"/>
    <n v="21.47"/>
    <n v="12.9"/>
    <n v="3.6203784425803472E-2"/>
    <n v="0.21016296859178918"/>
  </r>
  <r>
    <x v="7"/>
    <n v="66"/>
    <n v="23.87"/>
    <n v="13.29"/>
    <n v="4.475017308062916E-2"/>
    <n v="0.2676284101087027"/>
  </r>
  <r>
    <x v="7"/>
    <n v="67"/>
    <n v="25.11"/>
    <n v="13.47"/>
    <n v="4.9520304533986821E-2"/>
    <n v="0.30016732593276113"/>
  </r>
  <r>
    <x v="7"/>
    <n v="68"/>
    <n v="19.100000000000001"/>
    <n v="12.47"/>
    <n v="2.8652110398902319E-2"/>
    <n v="0.16078131750344038"/>
  </r>
  <r>
    <x v="7"/>
    <n v="69"/>
    <n v="18.71"/>
    <n v="12.39"/>
    <n v="2.7493970121138075E-2"/>
    <n v="0.15329263041040536"/>
  </r>
  <r>
    <x v="7"/>
    <n v="70"/>
    <n v="25.95"/>
    <n v="13.6"/>
    <n v="5.2888908672725006E-2"/>
    <n v="0.323680121077077"/>
  </r>
  <r>
    <x v="7"/>
    <n v="71"/>
    <n v="13.33"/>
    <n v="11.14"/>
    <n v="1.3955653571611285E-2"/>
    <n v="6.9959691354487374E-2"/>
  </r>
  <r>
    <x v="7"/>
    <n v="72"/>
    <n v="18.25"/>
    <n v="12.3"/>
    <n v="2.6158667579656264E-2"/>
    <n v="0.14478822505339745"/>
  </r>
  <r>
    <x v="7"/>
    <n v="73"/>
    <n v="21.83"/>
    <n v="12.96"/>
    <n v="3.7428063082907422E-2"/>
    <n v="0.21828046389951611"/>
  </r>
  <r>
    <x v="7"/>
    <n v="74"/>
    <n v="13.53"/>
    <n v="11.2"/>
    <n v="1.4377569464988391E-2"/>
    <n v="7.2462950103541493E-2"/>
  </r>
  <r>
    <x v="7"/>
    <n v="75"/>
    <n v="21.12"/>
    <n v="12.84"/>
    <n v="3.503303065353508E-2"/>
    <n v="0.20242085111612568"/>
  </r>
  <r>
    <x v="7"/>
    <n v="76"/>
    <n v="27.51"/>
    <n v="13.81"/>
    <n v="5.9438940859900528E-2"/>
    <n v="0.36938329797385183"/>
  </r>
  <r>
    <x v="7"/>
    <n v="77"/>
    <n v="19.98"/>
    <n v="12.63"/>
    <n v="3.1353126098752668E-2"/>
    <n v="0.1781954921822608"/>
  </r>
  <r>
    <x v="7"/>
    <n v="78"/>
    <n v="18.89"/>
    <n v="12.43"/>
    <n v="2.802552759812546E-2"/>
    <n v="0.15676078862011475"/>
  </r>
  <r>
    <x v="7"/>
    <n v="79"/>
    <n v="21.9"/>
    <n v="12.97"/>
    <n v="3.7668481314705016E-2"/>
    <n v="0.21985209119327584"/>
  </r>
  <r>
    <x v="7"/>
    <n v="80"/>
    <n v="18.88"/>
    <n v="12.43"/>
    <n v="2.7995863109493934E-2"/>
    <n v="0.15659486030295433"/>
  </r>
  <r>
    <x v="7"/>
    <n v="81"/>
    <n v="23.25"/>
    <n v="13.19"/>
    <n v="4.2455679470153315E-2"/>
    <n v="0.25199568549509499"/>
  </r>
  <r>
    <x v="7"/>
    <n v="82"/>
    <n v="23.62"/>
    <n v="13.25"/>
    <n v="4.3817709111135535E-2"/>
    <n v="0.26126309057514563"/>
  </r>
  <r>
    <x v="7"/>
    <n v="83"/>
    <n v="20.010000000000002"/>
    <n v="12.64"/>
    <n v="3.1447350316415469E-2"/>
    <n v="0.17887252859977121"/>
  </r>
  <r>
    <x v="7"/>
    <n v="84"/>
    <n v="15.29"/>
    <n v="11.65"/>
    <n v="1.8361360277152537E-2"/>
    <n v="9.6259431252972177E-2"/>
  </r>
  <r>
    <x v="7"/>
    <n v="85"/>
    <n v="14.73"/>
    <n v="11.51"/>
    <n v="1.7041011716701821E-2"/>
    <n v="8.8263920186657074E-2"/>
  </r>
  <r>
    <x v="7"/>
    <n v="86"/>
    <n v="17.63"/>
    <n v="12.17"/>
    <n v="2.4411502241288831E-2"/>
    <n v="0.1336895920244183"/>
  </r>
  <r>
    <x v="7"/>
    <n v="87"/>
    <n v="23.19"/>
    <n v="13.18"/>
    <n v="4.2236836125904252E-2"/>
    <n v="0.25050667506273816"/>
  </r>
  <r>
    <x v="7"/>
    <n v="88"/>
    <n v="12.17"/>
    <n v="10.81"/>
    <n v="1.1632445804281633E-2"/>
    <n v="5.6586032614927999E-2"/>
  </r>
  <r>
    <x v="7"/>
    <n v="89"/>
    <n v="12.45"/>
    <n v="10.89"/>
    <n v="1.2173867882201296E-2"/>
    <n v="5.9658039556727452E-2"/>
  </r>
  <r>
    <x v="7"/>
    <n v="90"/>
    <n v="17.38"/>
    <n v="12.12"/>
    <n v="2.3724082498775216E-2"/>
    <n v="0.12939114594832002"/>
  </r>
  <r>
    <x v="7"/>
    <n v="91"/>
    <n v="21.58"/>
    <n v="12.92"/>
    <n v="3.657570972608034E-2"/>
    <n v="0.21265117634743111"/>
  </r>
  <r>
    <x v="7"/>
    <n v="92"/>
    <n v="16.350000000000001"/>
    <n v="11.89"/>
    <n v="2.0995460053481442E-2"/>
    <n v="0.11233620901615246"/>
  </r>
  <r>
    <x v="7"/>
    <n v="93"/>
    <n v="23.55"/>
    <n v="13.24"/>
    <n v="4.355837849156334E-2"/>
    <n v="0.25952081905273439"/>
  </r>
  <r>
    <x v="7"/>
    <n v="94"/>
    <n v="21.33"/>
    <n v="12.87"/>
    <n v="3.5733173846295721E-2"/>
    <n v="0.20694867633082167"/>
  </r>
  <r>
    <x v="7"/>
    <n v="95"/>
    <n v="19.32"/>
    <n v="12.51"/>
    <n v="2.9315960342532373E-2"/>
    <n v="0.16503419874828598"/>
  </r>
  <r>
    <x v="7"/>
    <n v="96"/>
    <n v="23.28"/>
    <n v="13.2"/>
    <n v="4.2565313199781969E-2"/>
    <n v="0.25283796040670486"/>
  </r>
  <r>
    <x v="7"/>
    <n v="97"/>
    <n v="21.55"/>
    <n v="12.91"/>
    <n v="3.6474087057718353E-2"/>
    <n v="0.21189620876181478"/>
  </r>
  <r>
    <x v="7"/>
    <n v="98"/>
    <n v="18.22"/>
    <n v="12.29"/>
    <n v="2.6072737166598945E-2"/>
    <n v="0.14419527289987547"/>
  </r>
  <r>
    <x v="7"/>
    <n v="99"/>
    <n v="20.92"/>
    <n v="12.8"/>
    <n v="3.4372667877750507E-2"/>
    <n v="0.19798656697584294"/>
  </r>
  <r>
    <x v="7"/>
    <n v="100"/>
    <n v="22.59"/>
    <n v="13.09"/>
    <n v="4.0079504450684138E-2"/>
    <n v="0.23608832096675492"/>
  </r>
  <r>
    <x v="8"/>
    <n v="1"/>
    <n v="21.43"/>
    <n v="16.329999999999998"/>
    <n v="3.6069010100964478E-2"/>
    <n v="0.26505312072693749"/>
  </r>
  <r>
    <x v="8"/>
    <n v="2"/>
    <n v="17.37"/>
    <n v="15.35"/>
    <n v="2.3696789912597157E-2"/>
    <n v="0.16368557632126485"/>
  </r>
  <r>
    <x v="8"/>
    <n v="3"/>
    <n v="23.42"/>
    <n v="16.75"/>
    <n v="4.3078806519011227E-2"/>
    <n v="0.32470650413704716"/>
  </r>
  <r>
    <x v="8"/>
    <n v="4"/>
    <n v="24.61"/>
    <n v="16.98"/>
    <n v="4.7567804699780773E-2"/>
    <n v="0.36346559571102488"/>
  </r>
  <r>
    <x v="8"/>
    <n v="5"/>
    <n v="21.11"/>
    <n v="16.260000000000002"/>
    <n v="3.4999863289094796E-2"/>
    <n v="0.25609399968630664"/>
  </r>
  <r>
    <x v="8"/>
    <n v="6"/>
    <n v="20.58"/>
    <n v="16.14"/>
    <n v="3.3264471069196694E-2"/>
    <n v="0.2415998533755756"/>
  </r>
  <r>
    <x v="8"/>
    <n v="7"/>
    <n v="19.7"/>
    <n v="15.94"/>
    <n v="3.0480517323291569E-2"/>
    <n v="0.21863675075997041"/>
  </r>
  <r>
    <x v="8"/>
    <n v="8"/>
    <n v="28.65"/>
    <n v="17.690000000000001"/>
    <n v="6.4467248397530194E-2"/>
    <n v="0.51319153086853919"/>
  </r>
  <r>
    <x v="8"/>
    <n v="9"/>
    <n v="21.11"/>
    <n v="16.260000000000002"/>
    <n v="3.4999863289094796E-2"/>
    <n v="0.25609399968630664"/>
  </r>
  <r>
    <x v="8"/>
    <n v="10"/>
    <n v="19.37"/>
    <n v="15.86"/>
    <n v="2.9467895617241606E-2"/>
    <n v="0.21031237102025335"/>
  </r>
  <r>
    <x v="8"/>
    <n v="11"/>
    <n v="9.9700000000000006"/>
    <n v="12.76"/>
    <n v="7.8069284300053424E-3"/>
    <n v="4.482738304509068E-2"/>
  </r>
  <r>
    <x v="8"/>
    <n v="12"/>
    <n v="13.74"/>
    <n v="14.26"/>
    <n v="1.4827343431221211E-2"/>
    <n v="9.5147062798146512E-2"/>
  </r>
  <r>
    <x v="8"/>
    <n v="13"/>
    <n v="19.690000000000001"/>
    <n v="15.94"/>
    <n v="3.044958048963535E-2"/>
    <n v="0.21841484085215435"/>
  </r>
  <r>
    <x v="8"/>
    <n v="14"/>
    <n v="20.83"/>
    <n v="16.2"/>
    <n v="3.4077554517853909E-2"/>
    <n v="0.248425372435155"/>
  </r>
  <r>
    <x v="8"/>
    <n v="15"/>
    <n v="21.11"/>
    <n v="16.260000000000002"/>
    <n v="3.4999863289094796E-2"/>
    <n v="0.25609399968630664"/>
  </r>
  <r>
    <x v="8"/>
    <n v="16"/>
    <n v="23.29"/>
    <n v="16.72"/>
    <n v="4.2601889192251378E-2"/>
    <n v="0.32053661428249935"/>
  </r>
  <r>
    <x v="8"/>
    <n v="17"/>
    <n v="19.22"/>
    <n v="15.83"/>
    <n v="2.901326789035899E-2"/>
    <n v="0.20667601381697229"/>
  </r>
  <r>
    <x v="8"/>
    <n v="18"/>
    <n v="24.86"/>
    <n v="17.03"/>
    <n v="4.8539145878362555E-2"/>
    <n v="0.37197974443883147"/>
  </r>
  <r>
    <x v="8"/>
    <n v="19"/>
    <n v="16.309999999999999"/>
    <n v="15.06"/>
    <n v="2.0892855637415188E-2"/>
    <n v="0.14159088265476275"/>
  </r>
  <r>
    <x v="8"/>
    <n v="20"/>
    <n v="15.17"/>
    <n v="14.72"/>
    <n v="1.8074281540467502E-2"/>
    <n v="0.11972404092405674"/>
  </r>
  <r>
    <x v="8"/>
    <n v="21"/>
    <n v="15.08"/>
    <n v="14.69"/>
    <n v="1.7860456890482546E-2"/>
    <n v="0.11806655027453486"/>
  </r>
  <r>
    <x v="8"/>
    <n v="22"/>
    <n v="22.97"/>
    <n v="16.66"/>
    <n v="4.143924858301086E-2"/>
    <n v="0.31067004662683245"/>
  </r>
  <r>
    <x v="8"/>
    <n v="23"/>
    <n v="19.670000000000002"/>
    <n v="15.93"/>
    <n v="3.0387753946212705E-2"/>
    <n v="0.21783461416342578"/>
  </r>
  <r>
    <x v="8"/>
    <n v="24"/>
    <n v="23.16"/>
    <n v="16.7"/>
    <n v="4.2127626511283829E-2"/>
    <n v="0.31658911323229799"/>
  </r>
  <r>
    <x v="8"/>
    <n v="25"/>
    <n v="18.93"/>
    <n v="15.75"/>
    <n v="2.8144342632284224E-2"/>
    <n v="0.19947302840631445"/>
  </r>
  <r>
    <x v="8"/>
    <n v="26"/>
    <n v="17.63"/>
    <n v="15.42"/>
    <n v="2.4411502241288831E-2"/>
    <n v="0.16939141405230321"/>
  </r>
  <r>
    <x v="8"/>
    <n v="27"/>
    <n v="18.53"/>
    <n v="15.65"/>
    <n v="2.6967502024249489E-2"/>
    <n v="0.18991863300577705"/>
  </r>
  <r>
    <x v="8"/>
    <n v="28"/>
    <n v="12.59"/>
    <n v="13.85"/>
    <n v="1.2449197062361906E-2"/>
    <n v="7.7589620691170577E-2"/>
  </r>
  <r>
    <x v="8"/>
    <n v="29"/>
    <n v="15.32"/>
    <n v="14.77"/>
    <n v="1.8433483390497326E-2"/>
    <n v="0.12251814735494049"/>
  </r>
  <r>
    <x v="8"/>
    <n v="30"/>
    <n v="14.23"/>
    <n v="14.42"/>
    <n v="1.5903755176102315E-2"/>
    <n v="0.10319946733772792"/>
  </r>
  <r>
    <x v="8"/>
    <n v="31"/>
    <n v="24.22"/>
    <n v="16.91"/>
    <n v="4.6072115999351564E-2"/>
    <n v="0.35058576669706576"/>
  </r>
  <r>
    <x v="8"/>
    <n v="32"/>
    <n v="17.61"/>
    <n v="15.42"/>
    <n v="2.4356147378732582E-2"/>
    <n v="0.1690073066610254"/>
  </r>
  <r>
    <x v="8"/>
    <n v="33"/>
    <n v="23.16"/>
    <n v="16.7"/>
    <n v="4.2127626511283829E-2"/>
    <n v="0.31658911323229799"/>
  </r>
  <r>
    <x v="8"/>
    <n v="34"/>
    <n v="26.07"/>
    <n v="17.25"/>
    <n v="5.3379185622244245E-2"/>
    <n v="0.41435592839267094"/>
  </r>
  <r>
    <x v="8"/>
    <n v="35"/>
    <n v="19.23"/>
    <n v="15.83"/>
    <n v="2.904346644974163E-2"/>
    <n v="0.20689113325473449"/>
  </r>
  <r>
    <x v="8"/>
    <n v="36"/>
    <n v="21.14"/>
    <n v="16.27"/>
    <n v="3.5099412506305432E-2"/>
    <n v="0.2569803486649152"/>
  </r>
  <r>
    <x v="8"/>
    <n v="37"/>
    <n v="13"/>
    <n v="14"/>
    <n v="1.3273228961416876E-2"/>
    <n v="8.3621342456926331E-2"/>
  </r>
  <r>
    <x v="8"/>
    <n v="38"/>
    <n v="16.73"/>
    <n v="15.18"/>
    <n v="2.1982736960798565E-2"/>
    <n v="0.15016407617921501"/>
  </r>
  <r>
    <x v="8"/>
    <n v="39"/>
    <n v="20.22"/>
    <n v="16.059999999999999"/>
    <n v="3.2110878246798528E-2"/>
    <n v="0.23206531708961295"/>
  </r>
  <r>
    <x v="8"/>
    <n v="40"/>
    <n v="21.2"/>
    <n v="16.28"/>
    <n v="3.5298935055734913E-2"/>
    <n v="0.25859999821831403"/>
  </r>
  <r>
    <x v="8"/>
    <n v="41"/>
    <n v="16.96"/>
    <n v="15.24"/>
    <n v="2.259131843567035E-2"/>
    <n v="0.15493126183182726"/>
  </r>
  <r>
    <x v="8"/>
    <n v="42"/>
    <n v="30.74"/>
    <n v="18.02"/>
    <n v="7.4216010954682651E-2"/>
    <n v="0.60181763283152157"/>
  </r>
  <r>
    <x v="8"/>
    <n v="43"/>
    <n v="18.170000000000002"/>
    <n v="15.56"/>
    <n v="2.5929833970768788E-2"/>
    <n v="0.18156069746332307"/>
  </r>
  <r>
    <x v="8"/>
    <n v="44"/>
    <n v="20.260000000000002"/>
    <n v="16.07"/>
    <n v="3.2238049917415849E-2"/>
    <n v="0.23312945797779275"/>
  </r>
  <r>
    <x v="8"/>
    <n v="45"/>
    <n v="22.6"/>
    <n v="16.579999999999998"/>
    <n v="4.0114996593688071E-2"/>
    <n v="0.29929798958550669"/>
  </r>
  <r>
    <x v="8"/>
    <n v="46"/>
    <n v="19.899999999999999"/>
    <n v="15.99"/>
    <n v="3.1102552668702346E-2"/>
    <n v="0.22379841772764775"/>
  </r>
  <r>
    <x v="8"/>
    <n v="47"/>
    <n v="17.43"/>
    <n v="15.37"/>
    <n v="2.386078104911454E-2"/>
    <n v="0.16503309212620071"/>
  </r>
  <r>
    <x v="8"/>
    <n v="48"/>
    <n v="24.18"/>
    <n v="16.899999999999999"/>
    <n v="4.5920062914917827E-2"/>
    <n v="0.34922207846795006"/>
  </r>
  <r>
    <x v="8"/>
    <n v="49"/>
    <n v="26.46"/>
    <n v="17.32"/>
    <n v="5.4988207277651691E-2"/>
    <n v="0.42857808752201731"/>
  </r>
  <r>
    <x v="8"/>
    <n v="50"/>
    <n v="19.88"/>
    <n v="15.98"/>
    <n v="3.1040066390822442E-2"/>
    <n v="0.22320911741640417"/>
  </r>
  <r>
    <x v="8"/>
    <n v="51"/>
    <n v="22.25"/>
    <n v="16.510000000000002"/>
    <n v="3.8882117826694922E-2"/>
    <n v="0.28887469439342994"/>
  </r>
  <r>
    <x v="8"/>
    <n v="52"/>
    <n v="19.61"/>
    <n v="15.92"/>
    <n v="3.0202651307063188E-2"/>
    <n v="0.21637179396380068"/>
  </r>
  <r>
    <x v="8"/>
    <n v="53"/>
    <n v="24.07"/>
    <n v="16.88"/>
    <n v="4.5503212839694628E-2"/>
    <n v="0.34564240473032037"/>
  </r>
  <r>
    <x v="8"/>
    <n v="54"/>
    <n v="15.38"/>
    <n v="14.78"/>
    <n v="1.8578153732195138E-2"/>
    <n v="0.12356330047282986"/>
  </r>
  <r>
    <x v="8"/>
    <n v="55"/>
    <n v="29.28"/>
    <n v="17.79"/>
    <n v="6.733362968068389E-2"/>
    <n v="0.53903937240871491"/>
  </r>
  <r>
    <x v="8"/>
    <n v="56"/>
    <n v="17.59"/>
    <n v="15.41"/>
    <n v="2.43008553480294E-2"/>
    <n v="0.16851428141090988"/>
  </r>
  <r>
    <x v="8"/>
    <n v="57"/>
    <n v="14.16"/>
    <n v="14.4"/>
    <n v="1.5747672999090342E-2"/>
    <n v="0.10204492103410542"/>
  </r>
  <r>
    <x v="8"/>
    <n v="58"/>
    <n v="18.600000000000001"/>
    <n v="15.67"/>
    <n v="2.717163486089812E-2"/>
    <n v="0.19160078322162311"/>
  </r>
  <r>
    <x v="8"/>
    <n v="59"/>
    <n v="20.59"/>
    <n v="16.149999999999999"/>
    <n v="3.3296805911583779E-2"/>
    <n v="0.24198453696243513"/>
  </r>
  <r>
    <x v="8"/>
    <n v="60"/>
    <n v="26.49"/>
    <n v="17.32"/>
    <n v="5.5112967775907365E-2"/>
    <n v="0.42955047084542203"/>
  </r>
  <r>
    <x v="8"/>
    <n v="61"/>
    <n v="23.64"/>
    <n v="16.79"/>
    <n v="4.3891944945539857E-2"/>
    <n v="0.33162559003602637"/>
  </r>
  <r>
    <x v="8"/>
    <n v="62"/>
    <n v="20.57"/>
    <n v="16.14"/>
    <n v="3.3232151934772899E-2"/>
    <n v="0.24136511950225559"/>
  </r>
  <r>
    <x v="8"/>
    <n v="63"/>
    <n v="14.44"/>
    <n v="14.49"/>
    <n v="1.6376619848339016E-2"/>
    <n v="0.10678374972109456"/>
  </r>
  <r>
    <x v="8"/>
    <n v="64"/>
    <n v="16.54"/>
    <n v="15.12"/>
    <n v="2.1486263219770135E-2"/>
    <n v="0.14619253494731599"/>
  </r>
  <r>
    <x v="8"/>
    <n v="65"/>
    <n v="19.350000000000001"/>
    <n v="15.86"/>
    <n v="2.9407074383468113E-2"/>
    <n v="0.20987828987481191"/>
  </r>
  <r>
    <x v="8"/>
    <n v="66"/>
    <n v="30.21"/>
    <n v="17.940000000000001"/>
    <n v="7.1678899997551712E-2"/>
    <n v="0.57866375968023498"/>
  </r>
  <r>
    <x v="8"/>
    <n v="67"/>
    <n v="12.56"/>
    <n v="13.84"/>
    <n v="1.238993877093357E-2"/>
    <n v="7.7164538665374274E-2"/>
  </r>
  <r>
    <x v="8"/>
    <n v="68"/>
    <n v="24.52"/>
    <n v="16.96"/>
    <n v="4.7220525193871321E-2"/>
    <n v="0.36038704827962598"/>
  </r>
  <r>
    <x v="8"/>
    <n v="69"/>
    <n v="17.89"/>
    <n v="15.49"/>
    <n v="2.5136833153149647E-2"/>
    <n v="0.17521629549402962"/>
  </r>
  <r>
    <x v="8"/>
    <n v="70"/>
    <n v="26.66"/>
    <n v="17.350000000000001"/>
    <n v="5.5822614286445138E-2"/>
    <n v="0.43583506104142045"/>
  </r>
  <r>
    <x v="8"/>
    <n v="71"/>
    <n v="15.44"/>
    <n v="14.8"/>
    <n v="1.8723389560570593E-2"/>
    <n v="0.12469777447340016"/>
  </r>
  <r>
    <x v="8"/>
    <n v="72"/>
    <n v="20.57"/>
    <n v="16.14"/>
    <n v="3.3232151934772899E-2"/>
    <n v="0.24136511950225559"/>
  </r>
  <r>
    <x v="8"/>
    <n v="73"/>
    <n v="15.6"/>
    <n v="14.85"/>
    <n v="1.9113449704440299E-2"/>
    <n v="0.12772562764992229"/>
  </r>
  <r>
    <x v="8"/>
    <n v="74"/>
    <n v="23.61"/>
    <n v="16.79"/>
    <n v="4.3780614755878272E-2"/>
    <n v="0.33078443478803832"/>
  </r>
  <r>
    <x v="8"/>
    <n v="75"/>
    <n v="25.94"/>
    <n v="17.23"/>
    <n v="5.2848154362026334E-2"/>
    <n v="0.40975816484597116"/>
  </r>
  <r>
    <x v="8"/>
    <n v="76"/>
    <n v="27.8"/>
    <n v="17.55"/>
    <n v="6.0698711660008391E-2"/>
    <n v="0.47936807533491627"/>
  </r>
  <r>
    <x v="8"/>
    <n v="77"/>
    <n v="23.19"/>
    <n v="16.7"/>
    <n v="4.2236836125904252E-2"/>
    <n v="0.31740982348617042"/>
  </r>
  <r>
    <x v="8"/>
    <n v="78"/>
    <n v="27.37"/>
    <n v="17.48"/>
    <n v="5.8835503742999007E-2"/>
    <n v="0.46280007244243021"/>
  </r>
  <r>
    <x v="8"/>
    <n v="79"/>
    <n v="24.99"/>
    <n v="17.05"/>
    <n v="4.9048123158152275E-2"/>
    <n v="0.37632172493092336"/>
  </r>
  <r>
    <x v="8"/>
    <n v="80"/>
    <n v="19.47"/>
    <n v="15.89"/>
    <n v="2.9772944263905168E-2"/>
    <n v="0.21289143795905391"/>
  </r>
  <r>
    <x v="8"/>
    <n v="81"/>
    <n v="21.91"/>
    <n v="16.440000000000001"/>
    <n v="3.7702889608243466E-2"/>
    <n v="0.2789259773217852"/>
  </r>
  <r>
    <x v="8"/>
    <n v="82"/>
    <n v="16.11"/>
    <n v="15"/>
    <n v="2.0383603468268285E-2"/>
    <n v="0.13758932341081093"/>
  </r>
  <r>
    <x v="8"/>
    <n v="83"/>
    <n v="19.260000000000002"/>
    <n v="15.84"/>
    <n v="2.9134156375669136E-2"/>
    <n v="0.20766826664576959"/>
  </r>
  <r>
    <x v="8"/>
    <n v="84"/>
    <n v="24.88"/>
    <n v="17.03"/>
    <n v="4.8617277287657336E-2"/>
    <n v="0.37257850449396207"/>
  </r>
  <r>
    <x v="8"/>
    <n v="85"/>
    <n v="22.17"/>
    <n v="16.489999999999998"/>
    <n v="3.8603018735350013E-2"/>
    <n v="0.28645370052566477"/>
  </r>
  <r>
    <x v="8"/>
    <n v="86"/>
    <n v="21.83"/>
    <n v="16.420000000000002"/>
    <n v="3.7428063082907422E-2"/>
    <n v="0.27655595811960298"/>
  </r>
  <r>
    <x v="8"/>
    <n v="87"/>
    <n v="15.85"/>
    <n v="14.93"/>
    <n v="1.9730969010411544E-2"/>
    <n v="0.13256251529644994"/>
  </r>
  <r>
    <x v="8"/>
    <n v="88"/>
    <n v="17.579999999999998"/>
    <n v="15.41"/>
    <n v="2.4273232894622708E-2"/>
    <n v="0.16832273350776117"/>
  </r>
  <r>
    <x v="8"/>
    <n v="89"/>
    <n v="16.940000000000001"/>
    <n v="15.24"/>
    <n v="2.2538068440192002E-2"/>
    <n v="0.15456607336283676"/>
  </r>
  <r>
    <x v="8"/>
    <n v="90"/>
    <n v="21.58"/>
    <n v="16.37"/>
    <n v="3.657570972608034E-2"/>
    <n v="0.26943496569717085"/>
  </r>
  <r>
    <x v="8"/>
    <n v="91"/>
    <n v="16.04"/>
    <n v="14.98"/>
    <n v="2.0206849611595693E-2"/>
    <n v="0.13621437323176658"/>
  </r>
  <r>
    <x v="8"/>
    <n v="92"/>
    <n v="22.25"/>
    <n v="16.510000000000002"/>
    <n v="3.8882117826694922E-2"/>
    <n v="0.28887469439342994"/>
  </r>
  <r>
    <x v="8"/>
    <n v="93"/>
    <n v="15.53"/>
    <n v="14.83"/>
    <n v="1.8942303590654363E-2"/>
    <n v="0.12641146301223188"/>
  </r>
  <r>
    <x v="8"/>
    <n v="94"/>
    <n v="27.31"/>
    <n v="17.47"/>
    <n v="5.8577830313551543E-2"/>
    <n v="0.4605096130099855"/>
  </r>
  <r>
    <x v="8"/>
    <n v="95"/>
    <n v="21.84"/>
    <n v="16.420000000000002"/>
    <n v="3.7462361420702993E-2"/>
    <n v="0.27680938853757447"/>
  </r>
  <r>
    <x v="8"/>
    <n v="96"/>
    <n v="17.2"/>
    <n v="15.31"/>
    <n v="2.3235219265950107E-2"/>
    <n v="0.16007904313276328"/>
  </r>
  <r>
    <x v="8"/>
    <n v="97"/>
    <n v="20.96"/>
    <n v="16.23"/>
    <n v="3.4504237778082848E-2"/>
    <n v="0.2520017006122281"/>
  </r>
  <r>
    <x v="8"/>
    <n v="98"/>
    <n v="18.59"/>
    <n v="15.67"/>
    <n v="2.7142425903201369E-2"/>
    <n v="0.19139481625642446"/>
  </r>
  <r>
    <x v="8"/>
    <n v="99"/>
    <n v="21.48"/>
    <n v="16.350000000000001"/>
    <n v="3.6237517276921406E-2"/>
    <n v="0.26661753336494926"/>
  </r>
  <r>
    <x v="8"/>
    <n v="100"/>
    <n v="20.97"/>
    <n v="16.23"/>
    <n v="3.4537169523074097E-2"/>
    <n v="0.25224221761177168"/>
  </r>
  <r>
    <x v="9"/>
    <n v="1"/>
    <n v="15.94"/>
    <n v="18.13"/>
    <n v="1.9955679278941187E-2"/>
    <n v="0.16280840939724167"/>
  </r>
  <r>
    <x v="9"/>
    <n v="2"/>
    <n v="16.829999999999998"/>
    <n v="18.440000000000001"/>
    <n v="2.2246316584434742E-2"/>
    <n v="0.18459993501763949"/>
  </r>
  <r>
    <x v="9"/>
    <n v="3"/>
    <n v="21.2"/>
    <n v="19.75"/>
    <n v="3.5298935055734913E-2"/>
    <n v="0.31371928530784404"/>
  </r>
  <r>
    <x v="9"/>
    <n v="4"/>
    <n v="26.56"/>
    <n v="21.02"/>
    <n v="5.5404625383885013E-2"/>
    <n v="0.52407235150616838"/>
  </r>
  <r>
    <x v="9"/>
    <n v="5"/>
    <n v="24.34"/>
    <n v="20.53"/>
    <n v="4.652978321712653E-2"/>
    <n v="0.42986540225142345"/>
  </r>
  <r>
    <x v="9"/>
    <n v="6"/>
    <n v="17.5"/>
    <n v="18.66"/>
    <n v="2.4052818754046853E-2"/>
    <n v="0.20197151907773145"/>
  </r>
  <r>
    <x v="9"/>
    <n v="7"/>
    <n v="23.3"/>
    <n v="20.28"/>
    <n v="4.2638480892684065E-2"/>
    <n v="0.3891187766266348"/>
  </r>
  <r>
    <x v="9"/>
    <n v="8"/>
    <n v="19.809999999999999"/>
    <n v="19.36"/>
    <n v="3.0821859219085729E-2"/>
    <n v="0.26852003751667486"/>
  </r>
  <r>
    <x v="9"/>
    <n v="9"/>
    <n v="21.21"/>
    <n v="19.75"/>
    <n v="3.5332243791844603E-2"/>
    <n v="0.31401531670001892"/>
  </r>
  <r>
    <x v="9"/>
    <n v="10"/>
    <n v="21.04"/>
    <n v="19.71"/>
    <n v="3.4768131560984378E-2"/>
    <n v="0.30837594288015097"/>
  </r>
  <r>
    <x v="9"/>
    <n v="11"/>
    <n v="30.3"/>
    <n v="21.77"/>
    <n v="7.2106619983356338E-2"/>
    <n v="0.70639250266695042"/>
  </r>
  <r>
    <x v="9"/>
    <n v="12"/>
    <n v="15.26"/>
    <n v="17.89"/>
    <n v="1.8289378535477161E-2"/>
    <n v="0.14723864189985891"/>
  </r>
  <r>
    <x v="9"/>
    <n v="13"/>
    <n v="20.399999999999999"/>
    <n v="19.53"/>
    <n v="3.2685129967948208E-2"/>
    <n v="0.28725326472331286"/>
  </r>
  <r>
    <x v="9"/>
    <n v="14"/>
    <n v="12.88"/>
    <n v="16.93"/>
    <n v="1.3029315707792165E-2"/>
    <n v="9.9263841719814616E-2"/>
  </r>
  <r>
    <x v="9"/>
    <n v="15"/>
    <n v="22.36"/>
    <n v="20.05"/>
    <n v="3.9267520559455683E-2"/>
    <n v="0.3542912042476889"/>
  </r>
  <r>
    <x v="9"/>
    <n v="16"/>
    <n v="24.39"/>
    <n v="20.54"/>
    <n v="4.6721145479638321E-2"/>
    <n v="0.43184354766829697"/>
  </r>
  <r>
    <x v="9"/>
    <n v="17"/>
    <n v="25.78"/>
    <n v="20.86"/>
    <n v="5.2198221673851672E-2"/>
    <n v="0.48998470685244566"/>
  </r>
  <r>
    <x v="9"/>
    <n v="18"/>
    <n v="12.3"/>
    <n v="16.66"/>
    <n v="1.1882288814039996E-2"/>
    <n v="8.9081519238857848E-2"/>
  </r>
  <r>
    <x v="9"/>
    <n v="19"/>
    <n v="21.65"/>
    <n v="19.87"/>
    <n v="3.681337906430604E-2"/>
    <n v="0.32916682890349247"/>
  </r>
  <r>
    <x v="9"/>
    <n v="20"/>
    <n v="26.37"/>
    <n v="20.98"/>
    <n v="5.4614774012901116E-2"/>
    <n v="0.51561808145579946"/>
  </r>
  <r>
    <x v="9"/>
    <n v="21"/>
    <n v="18.34"/>
    <n v="18.93"/>
    <n v="2.6417307048844672E-2"/>
    <n v="0.22503583009558337"/>
  </r>
  <r>
    <x v="9"/>
    <n v="22"/>
    <n v="19.149999999999999"/>
    <n v="19.170000000000002"/>
    <n v="2.8802317797652067E-2"/>
    <n v="0.24846319448144558"/>
  </r>
  <r>
    <x v="9"/>
    <n v="23"/>
    <n v="19.850000000000001"/>
    <n v="19.38"/>
    <n v="3.0946454783727109E-2"/>
    <n v="0.26988403216888407"/>
  </r>
  <r>
    <x v="9"/>
    <n v="24"/>
    <n v="21.46"/>
    <n v="19.82"/>
    <n v="3.6170067282648828E-2"/>
    <n v="0.32260083009394491"/>
  </r>
  <r>
    <x v="9"/>
    <n v="25"/>
    <n v="22.66"/>
    <n v="20.12"/>
    <n v="4.0328279318940279E-2"/>
    <n v="0.36513224095368535"/>
  </r>
  <r>
    <x v="9"/>
    <n v="26"/>
    <n v="25.27"/>
    <n v="20.74"/>
    <n v="5.0153398285538241E-2"/>
    <n v="0.46808166619892838"/>
  </r>
  <r>
    <x v="9"/>
    <n v="27"/>
    <n v="19.62"/>
    <n v="19.309999999999999"/>
    <n v="3.0233462477013272E-2"/>
    <n v="0.26271367219400682"/>
  </r>
  <r>
    <x v="9"/>
    <n v="28"/>
    <n v="20.79"/>
    <n v="19.64"/>
    <n v="3.3946801431611502E-2"/>
    <n v="0.30002183105258245"/>
  </r>
  <r>
    <x v="9"/>
    <n v="29"/>
    <n v="29.95"/>
    <n v="21.7"/>
    <n v="7.0450411606291966E-2"/>
    <n v="0.68794826933544106"/>
  </r>
  <r>
    <x v="9"/>
    <n v="30"/>
    <n v="21.72"/>
    <n v="19.89"/>
    <n v="3.7051818092731871E-2"/>
    <n v="0.33163229783899667"/>
  </r>
  <r>
    <x v="9"/>
    <n v="31"/>
    <n v="20.76"/>
    <n v="19.63"/>
    <n v="3.3848901550544014E-2"/>
    <n v="0.29900427184673056"/>
  </r>
  <r>
    <x v="9"/>
    <n v="32"/>
    <n v="14.63"/>
    <n v="17.649999999999999"/>
    <n v="1.6810418815928332E-2"/>
    <n v="0.13351675144551078"/>
  </r>
  <r>
    <x v="9"/>
    <n v="33"/>
    <n v="20.010000000000002"/>
    <n v="19.420000000000002"/>
    <n v="3.1447350316415469E-2"/>
    <n v="0.27481839441515482"/>
  </r>
  <r>
    <x v="9"/>
    <n v="34"/>
    <n v="19.11"/>
    <n v="19.16"/>
    <n v="2.8682120462725724E-2"/>
    <n v="0.24729724262962119"/>
  </r>
  <r>
    <x v="9"/>
    <n v="35"/>
    <n v="19.96"/>
    <n v="19.41"/>
    <n v="3.1290388493460483E-2"/>
    <n v="0.27330589829613061"/>
  </r>
  <r>
    <x v="9"/>
    <n v="36"/>
    <n v="17.7"/>
    <n v="18.73"/>
    <n v="2.4605739061078654E-2"/>
    <n v="0.20738947167630145"/>
  </r>
  <r>
    <x v="9"/>
    <n v="37"/>
    <n v="17.25"/>
    <n v="18.579999999999998"/>
    <n v="2.3370504099595318E-2"/>
    <n v="0.19540078477671644"/>
  </r>
  <r>
    <x v="9"/>
    <n v="38"/>
    <n v="17.12"/>
    <n v="18.54"/>
    <n v="2.3019580346207706E-2"/>
    <n v="0.1920523588284109"/>
  </r>
  <r>
    <x v="9"/>
    <n v="39"/>
    <n v="19.14"/>
    <n v="19.170000000000002"/>
    <n v="2.8772244901975587E-2"/>
    <n v="0.24820377064689245"/>
  </r>
  <r>
    <x v="9"/>
    <n v="40"/>
    <n v="25.47"/>
    <n v="20.79"/>
    <n v="5.0950420341753969E-2"/>
    <n v="0.47666665750727927"/>
  </r>
  <r>
    <x v="9"/>
    <n v="41"/>
    <n v="24.2"/>
    <n v="20.5"/>
    <n v="4.5996058041208161E-2"/>
    <n v="0.42431363543014528"/>
  </r>
  <r>
    <x v="9"/>
    <n v="42"/>
    <n v="18.559999999999999"/>
    <n v="18.989999999999998"/>
    <n v="2.7054893277890721E-2"/>
    <n v="0.23119759050621516"/>
  </r>
  <r>
    <x v="9"/>
    <n v="43"/>
    <n v="13.26"/>
    <n v="17.09"/>
    <n v="1.3809467411458118E-2"/>
    <n v="0.10620170912781865"/>
  </r>
  <r>
    <x v="9"/>
    <n v="44"/>
    <n v="16.62"/>
    <n v="18.37"/>
    <n v="2.1694613644556215E-2"/>
    <n v="0.17933852369272396"/>
  </r>
  <r>
    <x v="9"/>
    <n v="45"/>
    <n v="18.170000000000002"/>
    <n v="18.87"/>
    <n v="2.5929833970768788E-2"/>
    <n v="0.22018318516278318"/>
  </r>
  <r>
    <x v="9"/>
    <n v="46"/>
    <n v="20.41"/>
    <n v="19.53"/>
    <n v="3.2717182066996454E-2"/>
    <n v="0.28753495459579836"/>
  </r>
  <r>
    <x v="9"/>
    <n v="47"/>
    <n v="17.350000000000001"/>
    <n v="18.61"/>
    <n v="2.3642251864130843E-2"/>
    <n v="0.19799203823616374"/>
  </r>
  <r>
    <x v="9"/>
    <n v="48"/>
    <n v="28.03"/>
    <n v="21.33"/>
    <n v="6.1707233587645433E-2"/>
    <n v="0.59229688159101468"/>
  </r>
  <r>
    <x v="9"/>
    <n v="49"/>
    <n v="18.91"/>
    <n v="19.100000000000001"/>
    <n v="2.8084903699278307E-2"/>
    <n v="0.24138974729529705"/>
  </r>
  <r>
    <x v="9"/>
    <n v="50"/>
    <n v="15.14"/>
    <n v="17.84"/>
    <n v="1.8002865285469776E-2"/>
    <n v="0.14452700251175138"/>
  </r>
  <r>
    <x v="9"/>
    <n v="51"/>
    <n v="19.43"/>
    <n v="19.260000000000002"/>
    <n v="2.9650736309680532E-2"/>
    <n v="0.25698293159600116"/>
  </r>
  <r>
    <x v="9"/>
    <n v="52"/>
    <n v="15.98"/>
    <n v="18.149999999999999"/>
    <n v="2.0055958916443777E-2"/>
    <n v="0.16380704445005453"/>
  </r>
  <r>
    <x v="9"/>
    <n v="53"/>
    <n v="20.62"/>
    <n v="19.59"/>
    <n v="3.3393904686524603E-2"/>
    <n v="0.29438396676405765"/>
  </r>
  <r>
    <x v="9"/>
    <n v="54"/>
    <n v="20.93"/>
    <n v="19.68"/>
    <n v="3.4405536790888681E-2"/>
    <n v="0.30469543382011016"/>
  </r>
  <r>
    <x v="9"/>
    <n v="55"/>
    <n v="21.42"/>
    <n v="19.809999999999999"/>
    <n v="3.603535578966291E-2"/>
    <n v="0.32123717918694999"/>
  </r>
  <r>
    <x v="9"/>
    <n v="56"/>
    <n v="13.51"/>
    <n v="17.2"/>
    <n v="1.4335095132311858E-2"/>
    <n v="0.11095363632409377"/>
  </r>
  <r>
    <x v="9"/>
    <n v="57"/>
    <n v="20.88"/>
    <n v="19.66"/>
    <n v="3.4241349304830443E-2"/>
    <n v="0.30293321729983497"/>
  </r>
  <r>
    <x v="9"/>
    <n v="58"/>
    <n v="21.24"/>
    <n v="19.760000000000002"/>
    <n v="3.543226424795326E-2"/>
    <n v="0.31506369369280041"/>
  </r>
  <r>
    <x v="9"/>
    <n v="59"/>
    <n v="14.32"/>
    <n v="17.52"/>
    <n v="1.6105563234187291E-2"/>
    <n v="0.12697626053833261"/>
  </r>
  <r>
    <x v="9"/>
    <n v="60"/>
    <n v="23.82"/>
    <n v="20.41"/>
    <n v="4.4562894888567038E-2"/>
    <n v="0.40928790810404397"/>
  </r>
  <r>
    <x v="9"/>
    <n v="61"/>
    <n v="23.14"/>
    <n v="20.239999999999998"/>
    <n v="4.2054898641353228E-2"/>
    <n v="0.38303601682544519"/>
  </r>
  <r>
    <x v="9"/>
    <n v="62"/>
    <n v="29.2"/>
    <n v="21.56"/>
    <n v="6.6966189003920026E-2"/>
    <n v="0.64970596571603212"/>
  </r>
  <r>
    <x v="9"/>
    <n v="63"/>
    <n v="20.63"/>
    <n v="19.59"/>
    <n v="3.3426302360764742E-2"/>
    <n v="0.29466956846132158"/>
  </r>
  <r>
    <x v="9"/>
    <n v="64"/>
    <n v="20.190000000000001"/>
    <n v="19.47"/>
    <n v="3.2015664427449859E-2"/>
    <n v="0.28050524388110193"/>
  </r>
  <r>
    <x v="9"/>
    <n v="65"/>
    <n v="20.39"/>
    <n v="19.53"/>
    <n v="3.2653093576863225E-2"/>
    <n v="0.28697171290026247"/>
  </r>
  <r>
    <x v="9"/>
    <n v="66"/>
    <n v="20.28"/>
    <n v="19.5"/>
    <n v="3.2301730000504111E-2"/>
    <n v="0.28344768075442361"/>
  </r>
  <r>
    <x v="9"/>
    <n v="67"/>
    <n v="12.61"/>
    <n v="16.8"/>
    <n v="1.2488781129797137E-2"/>
    <n v="9.4415185341266361E-2"/>
  </r>
  <r>
    <x v="9"/>
    <n v="68"/>
    <n v="13.32"/>
    <n v="17.11"/>
    <n v="1.3934722710556744E-2"/>
    <n v="0.10729039750993165"/>
  </r>
  <r>
    <x v="9"/>
    <n v="69"/>
    <n v="19.690000000000001"/>
    <n v="19.329999999999998"/>
    <n v="3.044958048963535E-2"/>
    <n v="0.2648656758890931"/>
  </r>
  <r>
    <x v="9"/>
    <n v="70"/>
    <n v="17.68"/>
    <n v="18.72"/>
    <n v="2.4550164287036654E-2"/>
    <n v="0.20681058395399676"/>
  </r>
  <r>
    <x v="9"/>
    <n v="71"/>
    <n v="20.22"/>
    <n v="19.48"/>
    <n v="3.2110878246798528E-2"/>
    <n v="0.28148395871143594"/>
  </r>
  <r>
    <x v="9"/>
    <n v="72"/>
    <n v="11.56"/>
    <n v="16.309999999999999"/>
    <n v="1.0495558400818925E-2"/>
    <n v="7.7032150882810499E-2"/>
  </r>
  <r>
    <x v="9"/>
    <n v="73"/>
    <n v="14.01"/>
    <n v="17.399999999999999"/>
    <n v="1.5415803005146748E-2"/>
    <n v="0.12070573753029903"/>
  </r>
  <r>
    <x v="9"/>
    <n v="74"/>
    <n v="15.59"/>
    <n v="18.010000000000002"/>
    <n v="1.9088953135723934E-2"/>
    <n v="0.15470642068847462"/>
  </r>
  <r>
    <x v="9"/>
    <n v="75"/>
    <n v="23.94"/>
    <n v="20.440000000000001"/>
    <n v="4.5013022283973379E-2"/>
    <n v="0.41402977896798721"/>
  </r>
  <r>
    <x v="9"/>
    <n v="76"/>
    <n v="15.61"/>
    <n v="18.010000000000002"/>
    <n v="1.9137961981119934E-2"/>
    <n v="0.15510361287598651"/>
  </r>
  <r>
    <x v="9"/>
    <n v="77"/>
    <n v="16.8"/>
    <n v="18.43"/>
    <n v="2.216707776372958E-2"/>
    <n v="0.18384265943349126"/>
  </r>
  <r>
    <x v="9"/>
    <n v="78"/>
    <n v="20.32"/>
    <n v="19.510000000000002"/>
    <n v="3.2429278662239852E-2"/>
    <n v="0.2847128520151348"/>
  </r>
  <r>
    <x v="9"/>
    <n v="79"/>
    <n v="18.71"/>
    <n v="19.04"/>
    <n v="2.7493970121138075E-2"/>
    <n v="0.23556833599791105"/>
  </r>
  <r>
    <x v="9"/>
    <n v="80"/>
    <n v="20.59"/>
    <n v="19.579999999999998"/>
    <n v="3.3296805911583779E-2"/>
    <n v="0.29337815688696467"/>
  </r>
  <r>
    <x v="9"/>
    <n v="81"/>
    <n v="29.22"/>
    <n v="21.56"/>
    <n v="6.705795492533137E-2"/>
    <n v="0.65059627868556491"/>
  </r>
  <r>
    <x v="9"/>
    <n v="82"/>
    <n v="15.5"/>
    <n v="17.97"/>
    <n v="1.8869190875623696E-2"/>
    <n v="0.15258571201573101"/>
  </r>
  <r>
    <x v="9"/>
    <n v="83"/>
    <n v="18.78"/>
    <n v="19.059999999999999"/>
    <n v="2.7700082161158462E-2"/>
    <n v="0.23758360469625611"/>
  </r>
  <r>
    <x v="9"/>
    <n v="84"/>
    <n v="17.93"/>
    <n v="18.8"/>
    <n v="2.5249365002001228E-2"/>
    <n v="0.21360962791693039"/>
  </r>
  <r>
    <x v="9"/>
    <n v="85"/>
    <n v="26.05"/>
    <n v="20.91"/>
    <n v="5.3297315717691696E-2"/>
    <n v="0.50150109224562001"/>
  </r>
  <r>
    <x v="9"/>
    <n v="86"/>
    <n v="16.920000000000002"/>
    <n v="18.47"/>
    <n v="2.248488127656673E-2"/>
    <n v="0.18688309073018436"/>
  </r>
  <r>
    <x v="9"/>
    <n v="87"/>
    <n v="19.670000000000002"/>
    <n v="19.32"/>
    <n v="3.0387753946212705E-2"/>
    <n v="0.26419113280837325"/>
  </r>
  <r>
    <x v="9"/>
    <n v="88"/>
    <n v="23.15"/>
    <n v="20.25"/>
    <n v="4.2091254722336893E-2"/>
    <n v="0.38355655865729493"/>
  </r>
  <r>
    <x v="9"/>
    <n v="89"/>
    <n v="15.77"/>
    <n v="18.07"/>
    <n v="1.9532294690998528E-2"/>
    <n v="0.15882685427985455"/>
  </r>
  <r>
    <x v="9"/>
    <n v="90"/>
    <n v="26.62"/>
    <n v="21.04"/>
    <n v="5.565523022986188E-2"/>
    <n v="0.52694371981633226"/>
  </r>
  <r>
    <x v="9"/>
    <n v="91"/>
    <n v="22.7"/>
    <n v="20.14"/>
    <n v="4.0470781961707107E-2"/>
    <n v="0.36678669691895149"/>
  </r>
  <r>
    <x v="9"/>
    <n v="92"/>
    <n v="15.7"/>
    <n v="18.05"/>
    <n v="1.9359279329583701E-2"/>
    <n v="0.15724574635454361"/>
  </r>
  <r>
    <x v="9"/>
    <n v="93"/>
    <n v="21.82"/>
    <n v="19.91"/>
    <n v="3.7393780453075127E-2"/>
    <n v="0.33502957596932664"/>
  </r>
  <r>
    <x v="9"/>
    <n v="94"/>
    <n v="19.149999999999999"/>
    <n v="19.170000000000002"/>
    <n v="2.8802317797652067E-2"/>
    <n v="0.24846319448144558"/>
  </r>
  <r>
    <x v="9"/>
    <n v="95"/>
    <n v="21.25"/>
    <n v="19.760000000000002"/>
    <n v="3.5465635815916025E-2"/>
    <n v="0.31536043367512528"/>
  </r>
  <r>
    <x v="9"/>
    <n v="96"/>
    <n v="19.64"/>
    <n v="19.309999999999999"/>
    <n v="3.0295131940803237E-2"/>
    <n v="0.26324954899960973"/>
  </r>
  <r>
    <x v="9"/>
    <n v="97"/>
    <n v="24.28"/>
    <n v="20.52"/>
    <n v="4.6300666864900225E-2"/>
    <n v="0.42754035783048872"/>
  </r>
  <r>
    <x v="9"/>
    <n v="98"/>
    <n v="14.6"/>
    <n v="17.63"/>
    <n v="1.6741547250980007E-2"/>
    <n v="0.13281906511564986"/>
  </r>
  <r>
    <x v="9"/>
    <n v="99"/>
    <n v="17.91"/>
    <n v="18.79"/>
    <n v="2.5193067661648902E-2"/>
    <n v="0.21301998361307228"/>
  </r>
  <r>
    <x v="9"/>
    <n v="100"/>
    <n v="19"/>
    <n v="19.13"/>
    <n v="2.835287369864788E-2"/>
    <n v="0.24407571323481028"/>
  </r>
  <r>
    <x v="10"/>
    <n v="1"/>
    <n v="16.02"/>
    <n v="14.02"/>
    <n v="2.0156489881358649E-2"/>
    <n v="0.12716729466149174"/>
  </r>
  <r>
    <x v="10"/>
    <n v="2"/>
    <n v="15.84"/>
    <n v="13.98"/>
    <n v="1.9706079742613479E-2"/>
    <n v="0.1239709476607814"/>
  </r>
  <r>
    <x v="10"/>
    <n v="3"/>
    <n v="19.93"/>
    <n v="14.98"/>
    <n v="3.1196399895246713E-2"/>
    <n v="0.2102949316938581"/>
  </r>
  <r>
    <x v="10"/>
    <n v="4"/>
    <n v="19.47"/>
    <n v="14.88"/>
    <n v="2.9772944263905168E-2"/>
    <n v="0.19935963479110902"/>
  </r>
  <r>
    <x v="10"/>
    <n v="5"/>
    <n v="9.8000000000000007"/>
    <n v="11.88"/>
    <n v="7.5429639612690945E-3"/>
    <n v="4.0324685336944582E-2"/>
  </r>
  <r>
    <x v="10"/>
    <n v="6"/>
    <n v="24.16"/>
    <n v="15.82"/>
    <n v="4.584413062048056E-2"/>
    <n v="0.32636436588720114"/>
  </r>
  <r>
    <x v="10"/>
    <n v="7"/>
    <n v="21"/>
    <n v="15.21"/>
    <n v="3.4636059005827467E-2"/>
    <n v="0.23706650586538611"/>
  </r>
  <r>
    <x v="10"/>
    <n v="8"/>
    <n v="29.66"/>
    <n v="16.72"/>
    <n v="6.9092701655208436E-2"/>
    <n v="0.51985348725378822"/>
  </r>
  <r>
    <x v="10"/>
    <n v="9"/>
    <n v="22.74"/>
    <n v="15.56"/>
    <n v="4.0613535931886227E-2"/>
    <n v="0.28437597859506736"/>
  </r>
  <r>
    <x v="10"/>
    <n v="10"/>
    <n v="18.21"/>
    <n v="14.59"/>
    <n v="2.6044125111506378E-2"/>
    <n v="0.17099270341959513"/>
  </r>
  <r>
    <x v="10"/>
    <n v="11"/>
    <n v="31.19"/>
    <n v="16.940000000000001"/>
    <n v="7.6404797826346849E-2"/>
    <n v="0.58243377383024209"/>
  </r>
  <r>
    <x v="10"/>
    <n v="12"/>
    <n v="31.33"/>
    <n v="16.96"/>
    <n v="7.7092241130805345E-2"/>
    <n v="0.58836798431030646"/>
  </r>
  <r>
    <x v="10"/>
    <n v="13"/>
    <n v="15.13"/>
    <n v="13.77"/>
    <n v="1.7979091283063735E-2"/>
    <n v="0.11140743913550444"/>
  </r>
  <r>
    <x v="10"/>
    <n v="14"/>
    <n v="21.88"/>
    <n v="15.39"/>
    <n v="3.7599711851517927E-2"/>
    <n v="0.26039680442768742"/>
  </r>
  <r>
    <x v="10"/>
    <n v="15"/>
    <n v="19.16"/>
    <n v="14.81"/>
    <n v="2.8832406401291824E-2"/>
    <n v="0.19215357246140938"/>
  </r>
  <r>
    <x v="10"/>
    <n v="16"/>
    <n v="20.75"/>
    <n v="15.16"/>
    <n v="3.381629967278138E-2"/>
    <n v="0.23069479636771456"/>
  </r>
  <r>
    <x v="10"/>
    <n v="17"/>
    <n v="20.91"/>
    <n v="15.19"/>
    <n v="3.4339814672575582E-2"/>
    <n v="0.23472980319439038"/>
  </r>
  <r>
    <x v="10"/>
    <n v="18"/>
    <n v="14.95"/>
    <n v="13.72"/>
    <n v="1.7553845301473817E-2"/>
    <n v="0.10837744089129935"/>
  </r>
  <r>
    <x v="10"/>
    <n v="19"/>
    <n v="21.14"/>
    <n v="15.24"/>
    <n v="3.5099412506305432E-2"/>
    <n v="0.24071177096824267"/>
  </r>
  <r>
    <x v="10"/>
    <n v="20"/>
    <n v="27"/>
    <n v="16.309999999999999"/>
    <n v="5.7255526111673977E-2"/>
    <n v="0.42022693389663113"/>
  </r>
  <r>
    <x v="10"/>
    <n v="21"/>
    <n v="19.34"/>
    <n v="14.85"/>
    <n v="2.937668732852626E-2"/>
    <n v="0.19630971307287673"/>
  </r>
  <r>
    <x v="10"/>
    <n v="22"/>
    <n v="19.350000000000001"/>
    <n v="14.85"/>
    <n v="2.9407074383468113E-2"/>
    <n v="0.19651277456752567"/>
  </r>
  <r>
    <x v="10"/>
    <n v="23"/>
    <n v="25.59"/>
    <n v="16.07"/>
    <n v="5.1431649504430854E-2"/>
    <n v="0.37192797339129174"/>
  </r>
  <r>
    <x v="10"/>
    <n v="24"/>
    <n v="23.59"/>
    <n v="15.72"/>
    <n v="4.3706473169253558E-2"/>
    <n v="0.30917959119929966"/>
  </r>
  <r>
    <x v="10"/>
    <n v="25"/>
    <n v="13.41"/>
    <n v="13.25"/>
    <n v="1.4123665946725268E-2"/>
    <n v="8.4212358207349416E-2"/>
  </r>
  <r>
    <x v="10"/>
    <n v="26"/>
    <n v="20.91"/>
    <n v="15.19"/>
    <n v="3.4339814672575582E-2"/>
    <n v="0.23472980319439038"/>
  </r>
  <r>
    <x v="10"/>
    <n v="27"/>
    <n v="26.61"/>
    <n v="16.239999999999998"/>
    <n v="5.561342348562423E-2"/>
    <n v="0.40642289883294186"/>
  </r>
  <r>
    <x v="10"/>
    <n v="28"/>
    <n v="25.66"/>
    <n v="16.079999999999998"/>
    <n v="5.1713411095549694E-2"/>
    <n v="0.37419824268739754"/>
  </r>
  <r>
    <x v="10"/>
    <n v="29"/>
    <n v="21.68"/>
    <n v="15.35"/>
    <n v="3.6915472971566075E-2"/>
    <n v="0.25499362955109267"/>
  </r>
  <r>
    <x v="10"/>
    <n v="30"/>
    <n v="22.88"/>
    <n v="15.58"/>
    <n v="4.1115154030884907E-2"/>
    <n v="0.28825834491053409"/>
  </r>
  <r>
    <x v="10"/>
    <n v="31"/>
    <n v="15.21"/>
    <n v="13.8"/>
    <n v="1.8169723125283564E-2"/>
    <n v="0.11283398060801093"/>
  </r>
  <r>
    <x v="10"/>
    <n v="32"/>
    <n v="21.2"/>
    <n v="15.25"/>
    <n v="3.5298935055734913E-2"/>
    <n v="0.24223894181998082"/>
  </r>
  <r>
    <x v="10"/>
    <n v="33"/>
    <n v="16.18"/>
    <n v="14.07"/>
    <n v="2.0561127015141015E-2"/>
    <n v="0.13018277569636535"/>
  </r>
  <r>
    <x v="10"/>
    <n v="34"/>
    <n v="18.170000000000002"/>
    <n v="14.57"/>
    <n v="2.5929833970768788E-2"/>
    <n v="0.17000895642934558"/>
  </r>
  <r>
    <x v="10"/>
    <n v="35"/>
    <n v="23.74"/>
    <n v="15.75"/>
    <n v="4.4264066595357573E-2"/>
    <n v="0.31372157199459677"/>
  </r>
  <r>
    <x v="10"/>
    <n v="36"/>
    <n v="15.45"/>
    <n v="13.87"/>
    <n v="1.874765050983794E-2"/>
    <n v="0.11701346065715348"/>
  </r>
  <r>
    <x v="10"/>
    <n v="37"/>
    <n v="21.07"/>
    <n v="15.22"/>
    <n v="3.4867350910966384E-2"/>
    <n v="0.23880648638920879"/>
  </r>
  <r>
    <x v="10"/>
    <n v="38"/>
    <n v="21.71"/>
    <n v="15.35"/>
    <n v="3.701770825049553E-2"/>
    <n v="0.25569981974029787"/>
  </r>
  <r>
    <x v="10"/>
    <n v="39"/>
    <n v="20.22"/>
    <n v="15.04"/>
    <n v="3.2110878246798528E-2"/>
    <n v="0.21732642397433244"/>
  </r>
  <r>
    <x v="10"/>
    <n v="40"/>
    <n v="27.29"/>
    <n v="16.350000000000001"/>
    <n v="5.8492064834108556E-2"/>
    <n v="0.43035536701695376"/>
  </r>
  <r>
    <x v="10"/>
    <n v="41"/>
    <n v="15.91"/>
    <n v="13.99"/>
    <n v="1.9880634484428564E-2"/>
    <n v="0.12515853439672003"/>
  </r>
  <r>
    <x v="10"/>
    <n v="42"/>
    <n v="22.42"/>
    <n v="15.5"/>
    <n v="3.9478541337997317E-2"/>
    <n v="0.2753628258325313"/>
  </r>
  <r>
    <x v="10"/>
    <n v="43"/>
    <n v="19.64"/>
    <n v="14.92"/>
    <n v="3.0295131940803237E-2"/>
    <n v="0.20340151585055294"/>
  </r>
  <r>
    <x v="10"/>
    <n v="44"/>
    <n v="18.96"/>
    <n v="14.76"/>
    <n v="2.8233618841517615E-2"/>
    <n v="0.18752769634535998"/>
  </r>
  <r>
    <x v="10"/>
    <n v="45"/>
    <n v="21.86"/>
    <n v="15.38"/>
    <n v="3.7531005220183926E-2"/>
    <n v="0.25975208712889297"/>
  </r>
  <r>
    <x v="10"/>
    <n v="46"/>
    <n v="15.92"/>
    <n v="14"/>
    <n v="1.9905633707969505E-2"/>
    <n v="0.1254054923602079"/>
  </r>
  <r>
    <x v="10"/>
    <n v="47"/>
    <n v="14.75"/>
    <n v="13.66"/>
    <n v="1.7087318792415734E-2"/>
    <n v="0.10503574861697952"/>
  </r>
  <r>
    <x v="10"/>
    <n v="48"/>
    <n v="18.02"/>
    <n v="14.54"/>
    <n v="2.5503480577768474E-2"/>
    <n v="0.16686927342033911"/>
  </r>
  <r>
    <x v="10"/>
    <n v="49"/>
    <n v="27.01"/>
    <n v="16.309999999999999"/>
    <n v="5.7297945466479074E-2"/>
    <n v="0.42053827075122313"/>
  </r>
  <r>
    <x v="10"/>
    <n v="50"/>
    <n v="20.22"/>
    <n v="15.04"/>
    <n v="3.2110878246798528E-2"/>
    <n v="0.21732642397433244"/>
  </r>
  <r>
    <x v="10"/>
    <n v="51"/>
    <n v="21.33"/>
    <n v="15.28"/>
    <n v="3.5733173846295721E-2"/>
    <n v="0.24570130336712939"/>
  </r>
  <r>
    <x v="10"/>
    <n v="52"/>
    <n v="19.239999999999998"/>
    <n v="14.83"/>
    <n v="2.9073680717087519E-2"/>
    <n v="0.19402320826548355"/>
  </r>
  <r>
    <x v="10"/>
    <n v="53"/>
    <n v="21.88"/>
    <n v="15.39"/>
    <n v="3.7599711851517927E-2"/>
    <n v="0.26039680442768742"/>
  </r>
  <r>
    <x v="10"/>
    <n v="54"/>
    <n v="16.190000000000001"/>
    <n v="14.07"/>
    <n v="2.058655035369019E-2"/>
    <n v="0.13034374356438946"/>
  </r>
  <r>
    <x v="10"/>
    <n v="55"/>
    <n v="24.63"/>
    <n v="15.91"/>
    <n v="4.7645150710912146E-2"/>
    <n v="0.34111545651477554"/>
  </r>
  <r>
    <x v="10"/>
    <n v="56"/>
    <n v="22.34"/>
    <n v="15.48"/>
    <n v="3.9197305963647955E-2"/>
    <n v="0.27304843334277162"/>
  </r>
  <r>
    <x v="10"/>
    <n v="57"/>
    <n v="16.77"/>
    <n v="14.23"/>
    <n v="2.208798031469382E-2"/>
    <n v="0.14144038194514189"/>
  </r>
  <r>
    <x v="10"/>
    <n v="58"/>
    <n v="20.22"/>
    <n v="15.04"/>
    <n v="3.2110878246798528E-2"/>
    <n v="0.21732642397433244"/>
  </r>
  <r>
    <x v="10"/>
    <n v="59"/>
    <n v="22.87"/>
    <n v="15.58"/>
    <n v="4.1079222064909486E-2"/>
    <n v="0.28800642589708042"/>
  </r>
  <r>
    <x v="10"/>
    <n v="60"/>
    <n v="22.23"/>
    <n v="15.46"/>
    <n v="3.8812248806079086E-2"/>
    <n v="0.27001681494389224"/>
  </r>
  <r>
    <x v="10"/>
    <n v="61"/>
    <n v="25.93"/>
    <n v="16.13"/>
    <n v="5.2807415759290904E-2"/>
    <n v="0.38330262728881298"/>
  </r>
  <r>
    <x v="10"/>
    <n v="62"/>
    <n v="17.55"/>
    <n v="14.42"/>
    <n v="2.4190459782182257E-2"/>
    <n v="0.15697189352658067"/>
  </r>
  <r>
    <x v="10"/>
    <n v="63"/>
    <n v="24.46"/>
    <n v="15.88"/>
    <n v="4.6989712381612078E-2"/>
    <n v="0.33578848467899991"/>
  </r>
  <r>
    <x v="10"/>
    <n v="64"/>
    <n v="24.15"/>
    <n v="15.82"/>
    <n v="4.5806188035206828E-2"/>
    <n v="0.32609425262263741"/>
  </r>
  <r>
    <x v="10"/>
    <n v="65"/>
    <n v="19.350000000000001"/>
    <n v="14.85"/>
    <n v="2.9407074383468113E-2"/>
    <n v="0.19651277456752567"/>
  </r>
  <r>
    <x v="10"/>
    <n v="66"/>
    <n v="16.100000000000001"/>
    <n v="14.05"/>
    <n v="2.035830579342526E-2"/>
    <n v="0.12871538837893121"/>
  </r>
  <r>
    <x v="10"/>
    <n v="67"/>
    <n v="15.64"/>
    <n v="13.92"/>
    <n v="1.9211593058938447E-2"/>
    <n v="0.12034141892119042"/>
  </r>
  <r>
    <x v="10"/>
    <n v="68"/>
    <n v="21.83"/>
    <n v="15.38"/>
    <n v="3.7428063082907422E-2"/>
    <n v="0.25903962459680224"/>
  </r>
  <r>
    <x v="10"/>
    <n v="69"/>
    <n v="19.72"/>
    <n v="14.93"/>
    <n v="3.0542438114493819E-2"/>
    <n v="0.20519937047222672"/>
  </r>
  <r>
    <x v="10"/>
    <n v="70"/>
    <n v="27.12"/>
    <n v="16.329999999999998"/>
    <n v="5.7765595094910818E-2"/>
    <n v="0.42449047555495212"/>
  </r>
  <r>
    <x v="10"/>
    <n v="71"/>
    <n v="22.14"/>
    <n v="15.44"/>
    <n v="3.8498615757489585E-2"/>
    <n v="0.26748838228303767"/>
  </r>
  <r>
    <x v="10"/>
    <n v="72"/>
    <n v="18.510000000000002"/>
    <n v="14.66"/>
    <n v="2.6909319728305008E-2"/>
    <n v="0.17752078224762816"/>
  </r>
  <r>
    <x v="10"/>
    <n v="73"/>
    <n v="15.9"/>
    <n v="13.99"/>
    <n v="1.9855650968850891E-2"/>
    <n v="0.12500125067440077"/>
  </r>
  <r>
    <x v="10"/>
    <n v="74"/>
    <n v="17.670000000000002"/>
    <n v="14.45"/>
    <n v="2.4522400461960556E-2"/>
    <n v="0.15945690900389853"/>
  </r>
  <r>
    <x v="10"/>
    <n v="75"/>
    <n v="21.37"/>
    <n v="15.29"/>
    <n v="3.5867319852604024E-2"/>
    <n v="0.24678509424584197"/>
  </r>
  <r>
    <x v="10"/>
    <n v="76"/>
    <n v="18.2"/>
    <n v="14.58"/>
    <n v="2.6015528764377075E-2"/>
    <n v="0.17068788422307798"/>
  </r>
  <r>
    <x v="10"/>
    <n v="77"/>
    <n v="22.06"/>
    <n v="15.42"/>
    <n v="3.8220898966912241E-2"/>
    <n v="0.265214817931404"/>
  </r>
  <r>
    <x v="10"/>
    <n v="78"/>
    <n v="18.66"/>
    <n v="14.69"/>
    <n v="2.7347218474307256E-2"/>
    <n v="0.18077878772440811"/>
  </r>
  <r>
    <x v="10"/>
    <n v="79"/>
    <n v="19.579999999999998"/>
    <n v="14.9"/>
    <n v="3.0110312044992541E-2"/>
    <n v="0.201889642261675"/>
  </r>
  <r>
    <x v="10"/>
    <n v="80"/>
    <n v="17.079999999999998"/>
    <n v="14.3"/>
    <n v="2.2912137877454934E-2"/>
    <n v="0.14743960724142252"/>
  </r>
  <r>
    <x v="10"/>
    <n v="81"/>
    <n v="27.62"/>
    <n v="16.41"/>
    <n v="5.9915229868129645E-2"/>
    <n v="0.44244401496120339"/>
  </r>
  <r>
    <x v="10"/>
    <n v="82"/>
    <n v="21.33"/>
    <n v="15.28"/>
    <n v="3.5733173846295721E-2"/>
    <n v="0.24570130336712939"/>
  </r>
  <r>
    <x v="10"/>
    <n v="83"/>
    <n v="20.92"/>
    <n v="15.19"/>
    <n v="3.4372667877750507E-2"/>
    <n v="0.23495437127836358"/>
  </r>
  <r>
    <x v="10"/>
    <n v="84"/>
    <n v="13.23"/>
    <n v="13.19"/>
    <n v="1.3747051819412923E-2"/>
    <n v="8.1595626074125405E-2"/>
  </r>
  <r>
    <x v="10"/>
    <n v="85"/>
    <n v="22.64"/>
    <n v="15.54"/>
    <n v="4.0257122245336473E-2"/>
    <n v="0.28151805586163792"/>
  </r>
  <r>
    <x v="10"/>
    <n v="86"/>
    <n v="15.91"/>
    <n v="13.99"/>
    <n v="1.9880634484428564E-2"/>
    <n v="0.12515853439672003"/>
  </r>
  <r>
    <x v="10"/>
    <n v="87"/>
    <n v="16.43"/>
    <n v="14.14"/>
    <n v="2.1201422867850785E-2"/>
    <n v="0.13490465370813456"/>
  </r>
  <r>
    <x v="10"/>
    <n v="88"/>
    <n v="23.67"/>
    <n v="15.73"/>
    <n v="4.4003416506870868E-2"/>
    <n v="0.31147818374388547"/>
  </r>
  <r>
    <x v="10"/>
    <n v="89"/>
    <n v="18.190000000000001"/>
    <n v="14.58"/>
    <n v="2.5986948125211046E-2"/>
    <n v="0.17050036664950968"/>
  </r>
  <r>
    <x v="10"/>
    <n v="90"/>
    <n v="13.01"/>
    <n v="13.11"/>
    <n v="1.3293657167646841E-2"/>
    <n v="7.8425930460532534E-2"/>
  </r>
  <r>
    <x v="10"/>
    <n v="91"/>
    <n v="27.08"/>
    <n v="16.32"/>
    <n v="5.7595320773086246E-2"/>
    <n v="0.42298003575754545"/>
  </r>
  <r>
    <x v="10"/>
    <n v="92"/>
    <n v="10.49"/>
    <n v="12.17"/>
    <n v="8.642529244007156E-3"/>
    <n v="4.733081140480519E-2"/>
  </r>
  <r>
    <x v="10"/>
    <n v="93"/>
    <n v="22.29"/>
    <n v="15.47"/>
    <n v="3.902204436348581E-2"/>
    <n v="0.2716519618364065"/>
  </r>
  <r>
    <x v="10"/>
    <n v="94"/>
    <n v="24.07"/>
    <n v="15.8"/>
    <n v="4.5503212839694628E-2"/>
    <n v="0.32352784329022882"/>
  </r>
  <r>
    <x v="10"/>
    <n v="95"/>
    <n v="17.48"/>
    <n v="14.41"/>
    <n v="2.3997872298535568E-2"/>
    <n v="0.15561420291985389"/>
  </r>
  <r>
    <x v="10"/>
    <n v="96"/>
    <n v="21.78"/>
    <n v="15.37"/>
    <n v="3.7256807013378614E-2"/>
    <n v="0.25768670570803315"/>
  </r>
  <r>
    <x v="10"/>
    <n v="97"/>
    <n v="21.76"/>
    <n v="15.36"/>
    <n v="3.7188414541309972E-2"/>
    <n v="0.25704632130953453"/>
  </r>
  <r>
    <x v="10"/>
    <n v="98"/>
    <n v="24.16"/>
    <n v="15.82"/>
    <n v="4.584413062048056E-2"/>
    <n v="0.32636436588720114"/>
  </r>
  <r>
    <x v="10"/>
    <n v="99"/>
    <n v="21.94"/>
    <n v="15.4"/>
    <n v="3.7806208736638397E-2"/>
    <n v="0.26199702654490409"/>
  </r>
  <r>
    <x v="10"/>
    <n v="100"/>
    <n v="19.02"/>
    <n v="14.78"/>
    <n v="2.8412595374992623E-2"/>
    <n v="0.18897217183907594"/>
  </r>
  <r>
    <x v="11"/>
    <n v="1"/>
    <n v="23.66"/>
    <n v="17.54"/>
    <n v="4.3966243611797261E-2"/>
    <n v="0.34702556082791575"/>
  </r>
  <r>
    <x v="11"/>
    <n v="2"/>
    <n v="23.2"/>
    <n v="17.45"/>
    <n v="4.2273270746704256E-2"/>
    <n v="0.33195085853849515"/>
  </r>
  <r>
    <x v="11"/>
    <n v="3"/>
    <n v="16.25"/>
    <n v="15.71"/>
    <n v="2.0739420252213869E-2"/>
    <n v="0.14661733147302597"/>
  </r>
  <r>
    <x v="11"/>
    <n v="4"/>
    <n v="14.4"/>
    <n v="15.12"/>
    <n v="1.628601631620949E-2"/>
    <n v="0.11081005501548936"/>
  </r>
  <r>
    <x v="11"/>
    <n v="5"/>
    <n v="20.64"/>
    <n v="16.88"/>
    <n v="3.3458715742968159E-2"/>
    <n v="0.25415240478358614"/>
  </r>
  <r>
    <x v="11"/>
    <n v="6"/>
    <n v="18.899999999999999"/>
    <n v="16.45"/>
    <n v="2.8055207794720247E-2"/>
    <n v="0.20767867570041662"/>
  </r>
  <r>
    <x v="11"/>
    <n v="7"/>
    <n v="16.059999999999999"/>
    <n v="15.65"/>
    <n v="2.0257272173685805E-2"/>
    <n v="0.14266183928318227"/>
  </r>
  <r>
    <x v="11"/>
    <n v="8"/>
    <n v="20.34"/>
    <n v="16.809999999999999"/>
    <n v="3.2493147240887331E-2"/>
    <n v="0.24579441230369217"/>
  </r>
  <r>
    <x v="11"/>
    <n v="9"/>
    <n v="14.72"/>
    <n v="15.23"/>
    <n v="1.7017881740789768E-2"/>
    <n v="0.1166320525105027"/>
  </r>
  <r>
    <x v="11"/>
    <n v="10"/>
    <n v="20.64"/>
    <n v="16.88"/>
    <n v="3.3458715742968159E-2"/>
    <n v="0.25415240478358614"/>
  </r>
  <r>
    <x v="11"/>
    <n v="11"/>
    <n v="17.5"/>
    <n v="16.07"/>
    <n v="2.4052818754046853E-2"/>
    <n v="0.17393795881988983"/>
  </r>
  <r>
    <x v="11"/>
    <n v="12"/>
    <n v="23.83"/>
    <n v="17.579999999999998"/>
    <n v="4.4600319111052916E-2"/>
    <n v="0.35283312448753962"/>
  </r>
  <r>
    <x v="11"/>
    <n v="13"/>
    <n v="29.7"/>
    <n v="18.649999999999999"/>
    <n v="6.9279186595125511E-2"/>
    <n v="0.58142557349959079"/>
  </r>
  <r>
    <x v="11"/>
    <n v="14"/>
    <n v="16.34"/>
    <n v="15.74"/>
    <n v="2.0969785387519972E-2"/>
    <n v="0.14852898989980398"/>
  </r>
  <r>
    <x v="11"/>
    <n v="15"/>
    <n v="24.23"/>
    <n v="17.66"/>
    <n v="4.6110168540368174E-2"/>
    <n v="0.36643750939030589"/>
  </r>
  <r>
    <x v="11"/>
    <n v="16"/>
    <n v="23.3"/>
    <n v="17.47"/>
    <n v="4.2638480892684065E-2"/>
    <n v="0.33520241753783575"/>
  </r>
  <r>
    <x v="11"/>
    <n v="17"/>
    <n v="19.72"/>
    <n v="16.66"/>
    <n v="3.0542438114493819E-2"/>
    <n v="0.22897665854436017"/>
  </r>
  <r>
    <x v="11"/>
    <n v="18"/>
    <n v="18.190000000000001"/>
    <n v="16.260000000000002"/>
    <n v="2.5986948125211046E-2"/>
    <n v="0.19014649943216924"/>
  </r>
  <r>
    <x v="11"/>
    <n v="19"/>
    <n v="26.3"/>
    <n v="18.059999999999999"/>
    <n v="5.4325205564038109E-2"/>
    <n v="0.44150094561893766"/>
  </r>
  <r>
    <x v="11"/>
    <n v="20"/>
    <n v="11.98"/>
    <n v="14.22"/>
    <n v="1.1272065857006715E-2"/>
    <n v="7.2129949418985984E-2"/>
  </r>
  <r>
    <x v="11"/>
    <n v="21"/>
    <n v="17.43"/>
    <n v="16.05"/>
    <n v="2.386078104911454E-2"/>
    <n v="0.17233449112722979"/>
  </r>
  <r>
    <x v="11"/>
    <n v="22"/>
    <n v="14.25"/>
    <n v="15.07"/>
    <n v="1.5948491455489433E-2"/>
    <n v="0.1081546948054016"/>
  </r>
  <r>
    <x v="11"/>
    <n v="23"/>
    <n v="25.58"/>
    <n v="17.920000000000002"/>
    <n v="5.1391460680409798E-2"/>
    <n v="0.41442073892682468"/>
  </r>
  <r>
    <x v="11"/>
    <n v="24"/>
    <n v="19.239999999999998"/>
    <n v="16.53"/>
    <n v="2.9073680717087519E-2"/>
    <n v="0.21626457401405555"/>
  </r>
  <r>
    <x v="11"/>
    <n v="25"/>
    <n v="17.899999999999999"/>
    <n v="16.18"/>
    <n v="2.5164942553417637E-2"/>
    <n v="0.1832259467314338"/>
  </r>
  <r>
    <x v="11"/>
    <n v="26"/>
    <n v="32.74"/>
    <n v="19.13"/>
    <n v="8.4187426037176674E-2"/>
    <n v="0.72472745704103536"/>
  </r>
  <r>
    <x v="11"/>
    <n v="27"/>
    <n v="19.8"/>
    <n v="16.68"/>
    <n v="3.0790749597833563E-2"/>
    <n v="0.23111536648133874"/>
  </r>
  <r>
    <x v="11"/>
    <n v="28"/>
    <n v="18.23"/>
    <n v="16.27"/>
    <n v="2.6101364929654786E-2"/>
    <n v="0.19110114333246753"/>
  </r>
  <r>
    <x v="11"/>
    <n v="29"/>
    <n v="21.2"/>
    <n v="17.010000000000002"/>
    <n v="3.5298935055734913E-2"/>
    <n v="0.27019569838412288"/>
  </r>
  <r>
    <x v="11"/>
    <n v="30"/>
    <n v="13.73"/>
    <n v="14.89"/>
    <n v="1.4805768543672684E-2"/>
    <n v="9.9206052126878816E-2"/>
  </r>
  <r>
    <x v="11"/>
    <n v="31"/>
    <n v="21.96"/>
    <n v="17.18"/>
    <n v="3.7875166695384696E-2"/>
    <n v="0.29281291372201912"/>
  </r>
  <r>
    <x v="11"/>
    <n v="32"/>
    <n v="19.62"/>
    <n v="16.63"/>
    <n v="3.0233462477013272E-2"/>
    <n v="0.22625211644672882"/>
  </r>
  <r>
    <x v="11"/>
    <n v="33"/>
    <n v="21.87"/>
    <n v="17.16"/>
    <n v="3.7565350681869301E-2"/>
    <n v="0.29007963796539477"/>
  </r>
  <r>
    <x v="11"/>
    <n v="34"/>
    <n v="16.07"/>
    <n v="15.66"/>
    <n v="2.028250701667577E-2"/>
    <n v="0.14293082694651416"/>
  </r>
  <r>
    <x v="11"/>
    <n v="35"/>
    <n v="15.91"/>
    <n v="15.61"/>
    <n v="1.9880634484428564E-2"/>
    <n v="0.13965151693586844"/>
  </r>
  <r>
    <x v="11"/>
    <n v="36"/>
    <n v="17.23"/>
    <n v="16"/>
    <n v="2.3316343042247435E-2"/>
    <n v="0.16787766990418154"/>
  </r>
  <r>
    <x v="11"/>
    <n v="37"/>
    <n v="16.93"/>
    <n v="15.91"/>
    <n v="2.2511467004397726E-2"/>
    <n v="0.16117084801798551"/>
  </r>
  <r>
    <x v="11"/>
    <n v="38"/>
    <n v="25.2"/>
    <n v="17.850000000000001"/>
    <n v="4.987592496839155E-2"/>
    <n v="0.40062836730860518"/>
  </r>
  <r>
    <x v="11"/>
    <n v="39"/>
    <n v="26.32"/>
    <n v="18.059999999999999"/>
    <n v="5.4407860866754046E-2"/>
    <n v="0.44217268526411008"/>
  </r>
  <r>
    <x v="11"/>
    <n v="40"/>
    <n v="19.37"/>
    <n v="16.57"/>
    <n v="2.9467895617241606E-2"/>
    <n v="0.21972736366996204"/>
  </r>
  <r>
    <x v="11"/>
    <n v="41"/>
    <n v="18.559999999999999"/>
    <n v="16.36"/>
    <n v="2.7054893277890721E-2"/>
    <n v="0.19917812431183149"/>
  </r>
  <r>
    <x v="11"/>
    <n v="42"/>
    <n v="18.68"/>
    <n v="16.39"/>
    <n v="2.7405872009149772E-2"/>
    <n v="0.20213200900348416"/>
  </r>
  <r>
    <x v="11"/>
    <n v="43"/>
    <n v="20.28"/>
    <n v="16.79"/>
    <n v="3.2301730000504111E-2"/>
    <n v="0.24405572101880879"/>
  </r>
  <r>
    <x v="11"/>
    <n v="44"/>
    <n v="20.39"/>
    <n v="16.82"/>
    <n v="3.2653093576863225E-2"/>
    <n v="0.24715126528327777"/>
  </r>
  <r>
    <x v="11"/>
    <n v="45"/>
    <n v="21.16"/>
    <n v="17"/>
    <n v="3.5165857190928851E-2"/>
    <n v="0.2690188075106057"/>
  </r>
  <r>
    <x v="11"/>
    <n v="46"/>
    <n v="17.010000000000002"/>
    <n v="15.94"/>
    <n v="2.272471831372341E-2"/>
    <n v="0.16300440446433803"/>
  </r>
  <r>
    <x v="11"/>
    <n v="47"/>
    <n v="16.61"/>
    <n v="15.82"/>
    <n v="2.1668514863586511E-2"/>
    <n v="0.15425815731387238"/>
  </r>
  <r>
    <x v="11"/>
    <n v="48"/>
    <n v="24.79"/>
    <n v="17.77"/>
    <n v="4.8266180746673777E-2"/>
    <n v="0.38596051434077683"/>
  </r>
  <r>
    <x v="11"/>
    <n v="49"/>
    <n v="17.809999999999999"/>
    <n v="16.16"/>
    <n v="2.4912523437683329E-2"/>
    <n v="0.18116387043883317"/>
  </r>
  <r>
    <x v="11"/>
    <n v="50"/>
    <n v="21.21"/>
    <n v="17.010000000000002"/>
    <n v="3.5332243791844603E-2"/>
    <n v="0.27045066010467456"/>
  </r>
  <r>
    <x v="11"/>
    <n v="51"/>
    <n v="19.77"/>
    <n v="16.670000000000002"/>
    <n v="3.0697514981856647E-2"/>
    <n v="0.23027740863639767"/>
  </r>
  <r>
    <x v="11"/>
    <n v="52"/>
    <n v="16.170000000000002"/>
    <n v="15.69"/>
    <n v="2.0535719384555114E-2"/>
    <n v="0.14499244671465139"/>
  </r>
  <r>
    <x v="11"/>
    <n v="53"/>
    <n v="22.36"/>
    <n v="17.27"/>
    <n v="3.9267520559455683E-2"/>
    <n v="0.30516753602780988"/>
  </r>
  <r>
    <x v="11"/>
    <n v="54"/>
    <n v="20.69"/>
    <n v="16.89"/>
    <n v="3.3621018273434243E-2"/>
    <n v="0.25553654938723697"/>
  </r>
  <r>
    <x v="11"/>
    <n v="55"/>
    <n v="25.6"/>
    <n v="17.93"/>
    <n v="5.1471854036415174E-2"/>
    <n v="0.41530065429281582"/>
  </r>
  <r>
    <x v="11"/>
    <n v="56"/>
    <n v="20.47"/>
    <n v="16.84"/>
    <n v="3.2909824528514577E-2"/>
    <n v="0.24939065027708346"/>
  </r>
  <r>
    <x v="11"/>
    <n v="57"/>
    <n v="18.670000000000002"/>
    <n v="16.39"/>
    <n v="2.7376537387746886E-2"/>
    <n v="0.20191565150332716"/>
  </r>
  <r>
    <x v="11"/>
    <n v="58"/>
    <n v="21.11"/>
    <n v="16.989999999999998"/>
    <n v="3.4999863289094796E-2"/>
    <n v="0.26759145477677426"/>
  </r>
  <r>
    <x v="11"/>
    <n v="59"/>
    <n v="15.26"/>
    <n v="15.4"/>
    <n v="1.8289378535477161E-2"/>
    <n v="0.12674539325085674"/>
  </r>
  <r>
    <x v="11"/>
    <n v="60"/>
    <n v="16.66"/>
    <n v="15.83"/>
    <n v="2.1799165848067681E-2"/>
    <n v="0.15528635791871012"/>
  </r>
  <r>
    <x v="11"/>
    <n v="61"/>
    <n v="22.04"/>
    <n v="17.2"/>
    <n v="3.815162684890059E-2"/>
    <n v="0.29529359181049053"/>
  </r>
  <r>
    <x v="11"/>
    <n v="62"/>
    <n v="18.670000000000002"/>
    <n v="16.39"/>
    <n v="2.7376537387746886E-2"/>
    <n v="0.20191565150332716"/>
  </r>
  <r>
    <x v="11"/>
    <n v="63"/>
    <n v="19.739999999999998"/>
    <n v="16.66"/>
    <n v="3.060442173754915E-2"/>
    <n v="0.22944134976640596"/>
  </r>
  <r>
    <x v="11"/>
    <n v="64"/>
    <n v="19.54"/>
    <n v="16.61"/>
    <n v="2.9987412940384109E-2"/>
    <n v="0.22414091802290101"/>
  </r>
  <r>
    <x v="11"/>
    <n v="65"/>
    <n v="17.399999999999999"/>
    <n v="16.04"/>
    <n v="2.3778714795021139E-2"/>
    <n v="0.17163476339046257"/>
  </r>
  <r>
    <x v="11"/>
    <n v="66"/>
    <n v="11.93"/>
    <n v="14.2"/>
    <n v="1.1178171506572548E-2"/>
    <n v="7.1428515926998587E-2"/>
  </r>
  <r>
    <x v="11"/>
    <n v="67"/>
    <n v="21.4"/>
    <n v="17.05"/>
    <n v="3.5968094290949534E-2"/>
    <n v="0.27596520344731029"/>
  </r>
  <r>
    <x v="11"/>
    <n v="68"/>
    <n v="23.05"/>
    <n v="17.420000000000002"/>
    <n v="4.1728400770847274E-2"/>
    <n v="0.3271089336426718"/>
  </r>
  <r>
    <x v="11"/>
    <n v="69"/>
    <n v="14.85"/>
    <n v="15.27"/>
    <n v="1.7319796648781378E-2"/>
    <n v="0.11901298267210124"/>
  </r>
  <r>
    <x v="11"/>
    <n v="70"/>
    <n v="25.93"/>
    <n v="17.989999999999998"/>
    <n v="5.2807415759290904E-2"/>
    <n v="0.42750243427933948"/>
  </r>
  <r>
    <x v="11"/>
    <n v="71"/>
    <n v="21.54"/>
    <n v="17.09"/>
    <n v="3.6440244250857547E-2"/>
    <n v="0.28024369841121999"/>
  </r>
  <r>
    <x v="11"/>
    <n v="72"/>
    <n v="25.37"/>
    <n v="17.88"/>
    <n v="5.0551123915482714E-2"/>
    <n v="0.40673434302397393"/>
  </r>
  <r>
    <x v="11"/>
    <n v="73"/>
    <n v="16.170000000000002"/>
    <n v="15.69"/>
    <n v="2.0535719384555114E-2"/>
    <n v="0.14499244671465139"/>
  </r>
  <r>
    <x v="11"/>
    <n v="74"/>
    <n v="20.67"/>
    <n v="16.88"/>
    <n v="3.3556050137358004E-2"/>
    <n v="0.2548917568433714"/>
  </r>
  <r>
    <x v="11"/>
    <n v="75"/>
    <n v="19.600000000000001"/>
    <n v="16.63"/>
    <n v="3.0171855845076378E-2"/>
    <n v="0.22579108321662908"/>
  </r>
  <r>
    <x v="11"/>
    <n v="76"/>
    <n v="23.07"/>
    <n v="17.420000000000002"/>
    <n v="4.1800845897439064E-2"/>
    <n v="0.32767683099002481"/>
  </r>
  <r>
    <x v="11"/>
    <n v="77"/>
    <n v="17.7"/>
    <n v="16.13"/>
    <n v="2.4605739061078654E-2"/>
    <n v="0.1786007569748394"/>
  </r>
  <r>
    <x v="11"/>
    <n v="78"/>
    <n v="19.96"/>
    <n v="16.71"/>
    <n v="3.1290388493460483E-2"/>
    <n v="0.23528807627657611"/>
  </r>
  <r>
    <x v="11"/>
    <n v="79"/>
    <n v="12.89"/>
    <n v="14.58"/>
    <n v="1.3049555418462918E-2"/>
    <n v="8.5618133100535204E-2"/>
  </r>
  <r>
    <x v="11"/>
    <n v="80"/>
    <n v="16.89"/>
    <n v="15.9"/>
    <n v="2.2405218340853322E-2"/>
    <n v="0.16030933722880553"/>
  </r>
  <r>
    <x v="11"/>
    <n v="81"/>
    <n v="20.5"/>
    <n v="16.84"/>
    <n v="3.3006357816777764E-2"/>
    <n v="0.25012217953554189"/>
  </r>
  <r>
    <x v="11"/>
    <n v="82"/>
    <n v="17.170000000000002"/>
    <n v="15.98"/>
    <n v="2.3154236861322203E-2"/>
    <n v="0.16650211726976796"/>
  </r>
  <r>
    <x v="11"/>
    <n v="83"/>
    <n v="19.829999999999998"/>
    <n v="16.68"/>
    <n v="3.0884125585479882E-2"/>
    <n v="0.23181624664461198"/>
  </r>
  <r>
    <x v="11"/>
    <n v="84"/>
    <n v="18.13"/>
    <n v="16.239999999999998"/>
    <n v="2.5815794157443468E-2"/>
    <n v="0.18866182370259685"/>
  </r>
  <r>
    <x v="11"/>
    <n v="85"/>
    <n v="22.43"/>
    <n v="17.28"/>
    <n v="3.9513766445625688E-2"/>
    <n v="0.30725904788118541"/>
  </r>
  <r>
    <x v="11"/>
    <n v="86"/>
    <n v="24.67"/>
    <n v="17.75"/>
    <n v="4.7800031228734136E-2"/>
    <n v="0.38180274943951392"/>
  </r>
  <r>
    <x v="11"/>
    <n v="87"/>
    <n v="16.71"/>
    <n v="15.85"/>
    <n v="2.1930209531630548E-2"/>
    <n v="0.15641721948435489"/>
  </r>
  <r>
    <x v="11"/>
    <n v="88"/>
    <n v="18.77"/>
    <n v="16.41"/>
    <n v="2.7670590460122883E-2"/>
    <n v="0.20433347525277742"/>
  </r>
  <r>
    <x v="11"/>
    <n v="89"/>
    <n v="25.76"/>
    <n v="17.96"/>
    <n v="5.2117262831168659E-2"/>
    <n v="0.4212117182015051"/>
  </r>
  <r>
    <x v="11"/>
    <n v="90"/>
    <n v="11.2"/>
    <n v="13.9"/>
    <n v="9.8520345616575893E-3"/>
    <n v="6.1624476183168221E-2"/>
  </r>
  <r>
    <x v="11"/>
    <n v="91"/>
    <n v="18.72"/>
    <n v="16.399999999999999"/>
    <n v="2.7523367574394029E-2"/>
    <n v="0.20312245269902793"/>
  </r>
  <r>
    <x v="11"/>
    <n v="92"/>
    <n v="28.26"/>
    <n v="18.41"/>
    <n v="6.2724065027851203E-2"/>
    <n v="0.51963751672323333"/>
  </r>
  <r>
    <x v="11"/>
    <n v="93"/>
    <n v="28.77"/>
    <n v="18.5"/>
    <n v="6.500841914803758E-2"/>
    <n v="0.5411950894074129"/>
  </r>
  <r>
    <x v="11"/>
    <n v="94"/>
    <n v="20.63"/>
    <n v="16.87"/>
    <n v="3.3426302360764742E-2"/>
    <n v="0.25375577437174557"/>
  </r>
  <r>
    <x v="11"/>
    <n v="95"/>
    <n v="16.55"/>
    <n v="15.8"/>
    <n v="2.151225204499696E-2"/>
    <n v="0.1529521120399284"/>
  </r>
  <r>
    <x v="11"/>
    <n v="96"/>
    <n v="20.66"/>
    <n v="16.88"/>
    <n v="3.352358963126479E-2"/>
    <n v="0.25464518683908732"/>
  </r>
  <r>
    <x v="11"/>
    <n v="97"/>
    <n v="17.39"/>
    <n v="16.04"/>
    <n v="2.3751390792916546E-2"/>
    <n v="0.17143753874327161"/>
  </r>
  <r>
    <x v="11"/>
    <n v="98"/>
    <n v="25.81"/>
    <n v="17.97"/>
    <n v="5.2319777747600688E-2"/>
    <n v="0.42308388275597297"/>
  </r>
  <r>
    <x v="11"/>
    <n v="99"/>
    <n v="16.77"/>
    <n v="15.87"/>
    <n v="2.208798031469382E-2"/>
    <n v="0.1577413114173859"/>
  </r>
  <r>
    <x v="11"/>
    <n v="100"/>
    <n v="21.49"/>
    <n v="17.07"/>
    <n v="3.6271265836002584E-2"/>
    <n v="0.27861772851925387"/>
  </r>
  <r>
    <x v="12"/>
    <n v="1"/>
    <n v="22.48"/>
    <n v="15.77"/>
    <n v="3.9690127603216586E-2"/>
    <n v="0.28166099053622651"/>
  </r>
  <r>
    <x v="12"/>
    <n v="2"/>
    <n v="16.97"/>
    <n v="14.52"/>
    <n v="2.261796699535442E-2"/>
    <n v="0.14778579634764577"/>
  </r>
  <r>
    <x v="12"/>
    <n v="3"/>
    <n v="23.41"/>
    <n v="15.95"/>
    <n v="4.3042026323019317E-2"/>
    <n v="0.30893414393347118"/>
  </r>
  <r>
    <x v="12"/>
    <n v="4"/>
    <n v="17.010000000000002"/>
    <n v="14.53"/>
    <n v="2.272471831372341E-2"/>
    <n v="0.14858557069428049"/>
  </r>
  <r>
    <x v="12"/>
    <n v="5"/>
    <n v="22.52"/>
    <n v="15.78"/>
    <n v="3.9831499272628121E-2"/>
    <n v="0.28284347633493229"/>
  </r>
  <r>
    <x v="12"/>
    <n v="6"/>
    <n v="24.39"/>
    <n v="16.13"/>
    <n v="4.6721145479638321E-2"/>
    <n v="0.33912543446395471"/>
  </r>
  <r>
    <x v="12"/>
    <n v="7"/>
    <n v="16.05"/>
    <n v="14.27"/>
    <n v="2.0232053038659117E-2"/>
    <n v="0.12992012858774951"/>
  </r>
  <r>
    <x v="12"/>
    <n v="8"/>
    <n v="24.43"/>
    <n v="16.14"/>
    <n v="4.6874518032986569E-2"/>
    <n v="0.34044962447358151"/>
  </r>
  <r>
    <x v="12"/>
    <n v="9"/>
    <n v="18.04"/>
    <n v="14.79"/>
    <n v="2.55601234933127E-2"/>
    <n v="0.17011540190974267"/>
  </r>
  <r>
    <x v="12"/>
    <n v="10"/>
    <n v="21.18"/>
    <n v="15.5"/>
    <n v="3.5232364707405352E-2"/>
    <n v="0.24574574383415235"/>
  </r>
  <r>
    <x v="12"/>
    <n v="11"/>
    <n v="20.81"/>
    <n v="15.42"/>
    <n v="3.4012146558806168E-2"/>
    <n v="0.23601028497155599"/>
  </r>
  <r>
    <x v="12"/>
    <n v="12"/>
    <n v="18.29"/>
    <n v="14.85"/>
    <n v="2.6273461375218431E-2"/>
    <n v="0.17557240563989715"/>
  </r>
  <r>
    <x v="12"/>
    <n v="13"/>
    <n v="21.07"/>
    <n v="15.48"/>
    <n v="3.4867350910966384E-2"/>
    <n v="0.24288596644579186"/>
  </r>
  <r>
    <x v="12"/>
    <n v="14"/>
    <n v="15.08"/>
    <n v="13.99"/>
    <n v="1.7860456890482546E-2"/>
    <n v="0.11244050635403288"/>
  </r>
  <r>
    <x v="12"/>
    <n v="15"/>
    <n v="19.46"/>
    <n v="15.13"/>
    <n v="2.9742368713404119E-2"/>
    <n v="0.20250091738521195"/>
  </r>
  <r>
    <x v="12"/>
    <n v="16"/>
    <n v="23.3"/>
    <n v="15.93"/>
    <n v="4.2638480892684065E-2"/>
    <n v="0.30565395027920572"/>
  </r>
  <r>
    <x v="12"/>
    <n v="17"/>
    <n v="11.3"/>
    <n v="12.71"/>
    <n v="1.0028749148422018E-2"/>
    <n v="5.7359430754399733E-2"/>
  </r>
  <r>
    <x v="12"/>
    <n v="18"/>
    <n v="14.05"/>
    <n v="13.68"/>
    <n v="1.5503956095006481E-2"/>
    <n v="9.5442353720859907E-2"/>
  </r>
  <r>
    <x v="12"/>
    <n v="19"/>
    <n v="15.35"/>
    <n v="14.07"/>
    <n v="1.8505747875511524E-2"/>
    <n v="0.11716914267380121"/>
  </r>
  <r>
    <x v="12"/>
    <n v="20"/>
    <n v="13.64"/>
    <n v="13.55"/>
    <n v="1.4612301414082993E-2"/>
    <n v="8.9098507872371058E-2"/>
  </r>
  <r>
    <x v="12"/>
    <n v="21"/>
    <n v="21.68"/>
    <n v="15.61"/>
    <n v="3.6915472971566075E-2"/>
    <n v="0.25931273988876585"/>
  </r>
  <r>
    <x v="12"/>
    <n v="22"/>
    <n v="16.03"/>
    <n v="14.26"/>
    <n v="2.0181661892495539E-2"/>
    <n v="0.1295057243641439"/>
  </r>
  <r>
    <x v="12"/>
    <n v="23"/>
    <n v="11.34"/>
    <n v="12.73"/>
    <n v="1.009987480609929E-2"/>
    <n v="5.7857132826739779E-2"/>
  </r>
  <r>
    <x v="12"/>
    <n v="24"/>
    <n v="17.45"/>
    <n v="14.64"/>
    <n v="2.3915570424993149E-2"/>
    <n v="0.15755577795985487"/>
  </r>
  <r>
    <x v="12"/>
    <n v="25"/>
    <n v="18.440000000000001"/>
    <n v="14.89"/>
    <n v="2.6706176493342258E-2"/>
    <n v="0.17894473559363983"/>
  </r>
  <r>
    <x v="12"/>
    <n v="26"/>
    <n v="23.43"/>
    <n v="15.95"/>
    <n v="4.311560242296638E-2"/>
    <n v="0.30946223639084119"/>
  </r>
  <r>
    <x v="12"/>
    <n v="27"/>
    <n v="15.58"/>
    <n v="14.14"/>
    <n v="1.9064472274970837E-2"/>
    <n v="0.12130723708563944"/>
  </r>
  <r>
    <x v="12"/>
    <n v="28"/>
    <n v="24.65"/>
    <n v="16.18"/>
    <n v="4.77225595538966E-2"/>
    <n v="0.34746795611192116"/>
  </r>
  <r>
    <x v="12"/>
    <n v="29"/>
    <n v="21.59"/>
    <n v="15.59"/>
    <n v="3.6609615364794214E-2"/>
    <n v="0.25683475659171379"/>
  </r>
  <r>
    <x v="12"/>
    <n v="30"/>
    <n v="21.45"/>
    <n v="15.56"/>
    <n v="3.6136365847457441E-2"/>
    <n v="0.253026833663897"/>
  </r>
  <r>
    <x v="12"/>
    <n v="31"/>
    <n v="16.59"/>
    <n v="14.42"/>
    <n v="2.1616364425536924E-2"/>
    <n v="0.1402685887573091"/>
  </r>
  <r>
    <x v="12"/>
    <n v="32"/>
    <n v="27.81"/>
    <n v="16.71"/>
    <n v="6.0742387651874924E-2"/>
    <n v="0.45675238394827355"/>
  </r>
  <r>
    <x v="12"/>
    <n v="33"/>
    <n v="19.34"/>
    <n v="15.1"/>
    <n v="2.937668732852626E-2"/>
    <n v="0.19961459039733592"/>
  </r>
  <r>
    <x v="12"/>
    <n v="34"/>
    <n v="12.7"/>
    <n v="13.23"/>
    <n v="1.2667686977437443E-2"/>
    <n v="7.5417074420173813E-2"/>
  </r>
  <r>
    <x v="12"/>
    <n v="35"/>
    <n v="19.18"/>
    <n v="15.06"/>
    <n v="2.8892630732461146E-2"/>
    <n v="0.19580535847388922"/>
  </r>
  <r>
    <x v="12"/>
    <n v="36"/>
    <n v="12.26"/>
    <n v="13.07"/>
    <n v="1.180513129846783E-2"/>
    <n v="6.9431879731938539E-2"/>
  </r>
  <r>
    <x v="12"/>
    <n v="37"/>
    <n v="18.760000000000002"/>
    <n v="14.96"/>
    <n v="2.764111446705058E-2"/>
    <n v="0.1860799825921845"/>
  </r>
  <r>
    <x v="12"/>
    <n v="38"/>
    <n v="18.309999999999999"/>
    <n v="14.86"/>
    <n v="2.6330952520779122E-2"/>
    <n v="0.17607507950644999"/>
  </r>
  <r>
    <x v="12"/>
    <n v="39"/>
    <n v="22.73"/>
    <n v="15.82"/>
    <n v="4.0577823877396557E-2"/>
    <n v="0.28887352818318612"/>
  </r>
  <r>
    <x v="12"/>
    <n v="40"/>
    <n v="24.04"/>
    <n v="16.07"/>
    <n v="4.5389856322771475E-2"/>
    <n v="0.32823674599812197"/>
  </r>
  <r>
    <x v="12"/>
    <n v="41"/>
    <n v="17.100000000000001"/>
    <n v="14.55"/>
    <n v="2.2965827695904786E-2"/>
    <n v="0.15036875683893661"/>
  </r>
  <r>
    <x v="12"/>
    <n v="42"/>
    <n v="23.22"/>
    <n v="15.91"/>
    <n v="4.2346187112194067E-2"/>
    <n v="0.30317752662975345"/>
  </r>
  <r>
    <x v="12"/>
    <n v="43"/>
    <n v="25.7"/>
    <n v="16.36"/>
    <n v="5.1874763294238062E-2"/>
    <n v="0.38190200737218061"/>
  </r>
  <r>
    <x v="12"/>
    <n v="44"/>
    <n v="16.86"/>
    <n v="14.49"/>
    <n v="2.2325696776809328E-2"/>
    <n v="0.14557470583318521"/>
  </r>
  <r>
    <x v="12"/>
    <n v="45"/>
    <n v="17.39"/>
    <n v="14.63"/>
    <n v="2.3751390792916546E-2"/>
    <n v="0.15636728128516611"/>
  </r>
  <r>
    <x v="12"/>
    <n v="46"/>
    <n v="22.6"/>
    <n v="15.79"/>
    <n v="4.0114996593688071E-2"/>
    <n v="0.28503710829645057"/>
  </r>
  <r>
    <x v="12"/>
    <n v="47"/>
    <n v="20.73"/>
    <n v="15.41"/>
    <n v="3.3751143041145931E-2"/>
    <n v="0.23404730141882646"/>
  </r>
  <r>
    <x v="12"/>
    <n v="48"/>
    <n v="22.2"/>
    <n v="15.71"/>
    <n v="3.870756308487984E-2"/>
    <n v="0.27364311722855805"/>
  </r>
  <r>
    <x v="12"/>
    <n v="49"/>
    <n v="25.62"/>
    <n v="16.350000000000001"/>
    <n v="5.1552310224273604E-2"/>
    <n v="0.37929612247509303"/>
  </r>
  <r>
    <x v="12"/>
    <n v="50"/>
    <n v="21.55"/>
    <n v="15.58"/>
    <n v="3.6474087057718353E-2"/>
    <n v="0.25571982436166341"/>
  </r>
  <r>
    <x v="12"/>
    <n v="51"/>
    <n v="24.21"/>
    <n v="16.100000000000001"/>
    <n v="4.6034079166298231E-2"/>
    <n v="0.33351690355983077"/>
  </r>
  <r>
    <x v="12"/>
    <n v="52"/>
    <n v="22.49"/>
    <n v="15.77"/>
    <n v="3.9725446958624566E-2"/>
    <n v="0.28191163434187921"/>
  </r>
  <r>
    <x v="12"/>
    <n v="53"/>
    <n v="21.73"/>
    <n v="15.62"/>
    <n v="3.7085943642931496E-2"/>
    <n v="0.2606770978661655"/>
  </r>
  <r>
    <x v="12"/>
    <n v="54"/>
    <n v="21.54"/>
    <n v="15.58"/>
    <n v="3.6440244250857547E-2"/>
    <n v="0.25548255244276225"/>
  </r>
  <r>
    <x v="12"/>
    <n v="55"/>
    <n v="25.17"/>
    <n v="16.27"/>
    <n v="4.9757243451920577E-2"/>
    <n v="0.36429765793323649"/>
  </r>
  <r>
    <x v="12"/>
    <n v="56"/>
    <n v="15.99"/>
    <n v="14.25"/>
    <n v="2.0081068095727593E-2"/>
    <n v="0.1287698491638532"/>
  </r>
  <r>
    <x v="12"/>
    <n v="57"/>
    <n v="15.58"/>
    <n v="14.14"/>
    <n v="1.9064472274970837E-2"/>
    <n v="0.12130723708563944"/>
  </r>
  <r>
    <x v="12"/>
    <n v="58"/>
    <n v="22.37"/>
    <n v="15.75"/>
    <n v="3.930265141930446E-2"/>
    <n v="0.27855754193432036"/>
  </r>
  <r>
    <x v="12"/>
    <n v="59"/>
    <n v="19.52"/>
    <n v="15.14"/>
    <n v="2.9926057635859506E-2"/>
    <n v="0.20388623067311085"/>
  </r>
  <r>
    <x v="12"/>
    <n v="60"/>
    <n v="20.3"/>
    <n v="15.31"/>
    <n v="3.2365472915445455E-2"/>
    <n v="0.22298192565096148"/>
  </r>
  <r>
    <x v="12"/>
    <n v="61"/>
    <n v="22.97"/>
    <n v="15.86"/>
    <n v="4.143924858301086E-2"/>
    <n v="0.29575191713694854"/>
  </r>
  <r>
    <x v="12"/>
    <n v="62"/>
    <n v="23.01"/>
    <n v="15.87"/>
    <n v="4.1583699013222938E-2"/>
    <n v="0.2969699865029316"/>
  </r>
  <r>
    <x v="12"/>
    <n v="63"/>
    <n v="18.95"/>
    <n v="15.01"/>
    <n v="2.8203844397143213E-2"/>
    <n v="0.19050286698050384"/>
  </r>
  <r>
    <x v="12"/>
    <n v="64"/>
    <n v="18.75"/>
    <n v="14.96"/>
    <n v="2.7611654181941545E-2"/>
    <n v="0.18588165595283049"/>
  </r>
  <r>
    <x v="12"/>
    <n v="65"/>
    <n v="20.29"/>
    <n v="15.31"/>
    <n v="3.2333593603993134E-2"/>
    <n v="0.22276229313471071"/>
  </r>
  <r>
    <x v="12"/>
    <n v="66"/>
    <n v="24.25"/>
    <n v="16.100000000000001"/>
    <n v="4.6186320746291191E-2"/>
    <n v="0.33461989380687973"/>
  </r>
  <r>
    <x v="12"/>
    <n v="67"/>
    <n v="21.7"/>
    <n v="15.61"/>
    <n v="3.6983614116222439E-2"/>
    <n v="0.25979139735940454"/>
  </r>
  <r>
    <x v="12"/>
    <n v="68"/>
    <n v="25.73"/>
    <n v="16.37"/>
    <n v="5.1995942376868651E-2"/>
    <n v="0.38302810951920296"/>
  </r>
  <r>
    <x v="12"/>
    <n v="69"/>
    <n v="19.97"/>
    <n v="15.24"/>
    <n v="3.1321749442124937E-2"/>
    <n v="0.21480455767409284"/>
  </r>
  <r>
    <x v="12"/>
    <n v="70"/>
    <n v="24.5"/>
    <n v="16.149999999999999"/>
    <n v="4.7143524757931835E-2"/>
    <n v="0.34261556617826955"/>
  </r>
  <r>
    <x v="12"/>
    <n v="71"/>
    <n v="23.53"/>
    <n v="15.97"/>
    <n v="4.348442540049783E-2"/>
    <n v="0.31250082314067767"/>
  </r>
  <r>
    <x v="12"/>
    <n v="72"/>
    <n v="22.45"/>
    <n v="15.76"/>
    <n v="3.9584263784772235E-2"/>
    <n v="0.28073159876160469"/>
  </r>
  <r>
    <x v="12"/>
    <n v="73"/>
    <n v="21.66"/>
    <n v="15.6"/>
    <n v="3.6847394658762786E-2"/>
    <n v="0.25866871050451479"/>
  </r>
  <r>
    <x v="12"/>
    <n v="74"/>
    <n v="18.88"/>
    <n v="14.99"/>
    <n v="2.7995863109493934E-2"/>
    <n v="0.18884609460509136"/>
  </r>
  <r>
    <x v="12"/>
    <n v="75"/>
    <n v="19.559999999999999"/>
    <n v="15.15"/>
    <n v="3.0048831076761793E-2"/>
    <n v="0.20485790586582353"/>
  </r>
  <r>
    <x v="12"/>
    <n v="76"/>
    <n v="20.92"/>
    <n v="15.45"/>
    <n v="3.4372667877750507E-2"/>
    <n v="0.23897597342006038"/>
  </r>
  <r>
    <x v="12"/>
    <n v="77"/>
    <n v="20.2"/>
    <n v="15.29"/>
    <n v="3.2047386659269476E-2"/>
    <n v="0.22050204390910361"/>
  </r>
  <r>
    <x v="12"/>
    <n v="78"/>
    <n v="23.77"/>
    <n v="16.02"/>
    <n v="4.4376009395586606E-2"/>
    <n v="0.31990665173278382"/>
  </r>
  <r>
    <x v="12"/>
    <n v="79"/>
    <n v="19.559999999999999"/>
    <n v="15.15"/>
    <n v="3.0048831076761793E-2"/>
    <n v="0.20485790586582353"/>
  </r>
  <r>
    <x v="12"/>
    <n v="80"/>
    <n v="19.72"/>
    <n v="15.18"/>
    <n v="3.0542438114493819E-2"/>
    <n v="0.20863539476010728"/>
  </r>
  <r>
    <x v="12"/>
    <n v="81"/>
    <n v="18.059999999999999"/>
    <n v="14.79"/>
    <n v="2.5616829240709994E-2"/>
    <n v="0.17049280701154537"/>
  </r>
  <r>
    <x v="12"/>
    <n v="82"/>
    <n v="19.45"/>
    <n v="15.12"/>
    <n v="2.9711808870866316E-2"/>
    <n v="0.20215914755737441"/>
  </r>
  <r>
    <x v="12"/>
    <n v="83"/>
    <n v="19.72"/>
    <n v="15.19"/>
    <n v="3.0542438114493819E-2"/>
    <n v="0.20877283573162247"/>
  </r>
  <r>
    <x v="12"/>
    <n v="84"/>
    <n v="10.75"/>
    <n v="12.49"/>
    <n v="9.0762575257617613E-3"/>
    <n v="5.1013105423543981E-2"/>
  </r>
  <r>
    <x v="12"/>
    <n v="85"/>
    <n v="14.54"/>
    <n v="13.83"/>
    <n v="1.6604228236091596E-2"/>
    <n v="0.10333641442731606"/>
  </r>
  <r>
    <x v="12"/>
    <n v="86"/>
    <n v="19.71"/>
    <n v="15.18"/>
    <n v="3.0511469864911066E-2"/>
    <n v="0.2084238506472075"/>
  </r>
  <r>
    <x v="12"/>
    <n v="87"/>
    <n v="18.940000000000001"/>
    <n v="15.01"/>
    <n v="2.8174085660732089E-2"/>
    <n v="0.1903018615954149"/>
  </r>
  <r>
    <x v="12"/>
    <n v="88"/>
    <n v="15.2"/>
    <n v="14.03"/>
    <n v="1.8145839167134643E-2"/>
    <n v="0.11456375558170456"/>
  </r>
  <r>
    <x v="12"/>
    <n v="89"/>
    <n v="12.03"/>
    <n v="12.99"/>
    <n v="1.1366352906522574E-2"/>
    <n v="6.6442015915077701E-2"/>
  </r>
  <r>
    <x v="12"/>
    <n v="90"/>
    <n v="18.579999999999998"/>
    <n v="14.92"/>
    <n v="2.7113232653467885E-2"/>
    <n v="0.18203824403538338"/>
  </r>
  <r>
    <x v="12"/>
    <n v="91"/>
    <n v="22.61"/>
    <n v="15.79"/>
    <n v="4.0150504444655261E-2"/>
    <n v="0.28528940933149793"/>
  </r>
  <r>
    <x v="12"/>
    <n v="92"/>
    <n v="27.09"/>
    <n v="16.600000000000001"/>
    <n v="5.7637865791597492E-2"/>
    <n v="0.43055485746323335"/>
  </r>
  <r>
    <x v="12"/>
    <n v="93"/>
    <n v="19.850000000000001"/>
    <n v="15.21"/>
    <n v="3.0946454783727109E-2"/>
    <n v="0.21181300976722023"/>
  </r>
  <r>
    <x v="12"/>
    <n v="94"/>
    <n v="25.97"/>
    <n v="16.41"/>
    <n v="5.2970464418012203E-2"/>
    <n v="0.39116039449481116"/>
  </r>
  <r>
    <x v="12"/>
    <n v="95"/>
    <n v="20.329999999999998"/>
    <n v="15.32"/>
    <n v="3.2461205097581956E-2"/>
    <n v="0.22378754794273001"/>
  </r>
  <r>
    <x v="12"/>
    <n v="96"/>
    <n v="20.46"/>
    <n v="15.35"/>
    <n v="3.2877678181686722E-2"/>
    <n v="0.22710256204000104"/>
  </r>
  <r>
    <x v="12"/>
    <n v="97"/>
    <n v="21.3"/>
    <n v="15.53"/>
    <n v="3.563272927517884E-2"/>
    <n v="0.24901932853958733"/>
  </r>
  <r>
    <x v="12"/>
    <n v="98"/>
    <n v="16.52"/>
    <n v="14.4"/>
    <n v="2.1434332693206295E-2"/>
    <n v="0.13889447585197681"/>
  </r>
  <r>
    <x v="12"/>
    <n v="99"/>
    <n v="19.79"/>
    <n v="15.2"/>
    <n v="3.0759655684544657E-2"/>
    <n v="0.21039604488228544"/>
  </r>
  <r>
    <x v="12"/>
    <n v="100"/>
    <n v="23.63"/>
    <n v="15.99"/>
    <n v="4.3854819174356061E-2"/>
    <n v="0.31555735136907903"/>
  </r>
  <r>
    <x v="13"/>
    <n v="1"/>
    <n v="17"/>
    <n v="15.49"/>
    <n v="2.2698006922186254E-2"/>
    <n v="0.15821645725109929"/>
  </r>
  <r>
    <x v="13"/>
    <n v="2"/>
    <n v="18.71"/>
    <n v="15.94"/>
    <n v="2.7493970121138075E-2"/>
    <n v="0.1972142476789234"/>
  </r>
  <r>
    <x v="13"/>
    <n v="3"/>
    <n v="15.41"/>
    <n v="15.02"/>
    <n v="1.8650700960548158E-2"/>
    <n v="0.12606008779234501"/>
  </r>
  <r>
    <x v="13"/>
    <n v="4"/>
    <n v="21.42"/>
    <n v="16.579999999999998"/>
    <n v="3.603535578966291E-2"/>
    <n v="0.26885978954667494"/>
  </r>
  <r>
    <x v="13"/>
    <n v="5"/>
    <n v="21.7"/>
    <n v="16.64"/>
    <n v="3.6983614116222439E-2"/>
    <n v="0.27693330250227366"/>
  </r>
  <r>
    <x v="13"/>
    <n v="6"/>
    <n v="22.59"/>
    <n v="16.84"/>
    <n v="4.0079504450684138E-2"/>
    <n v="0.30372248472728441"/>
  </r>
  <r>
    <x v="13"/>
    <n v="7"/>
    <n v="15.12"/>
    <n v="14.93"/>
    <n v="1.7955332988620957E-2"/>
    <n v="0.1206329046840499"/>
  </r>
  <r>
    <x v="13"/>
    <n v="8"/>
    <n v="20.43"/>
    <n v="16.36"/>
    <n v="3.2781333388982759E-2"/>
    <n v="0.24133617640969107"/>
  </r>
  <r>
    <x v="13"/>
    <n v="9"/>
    <n v="16.22"/>
    <n v="15.27"/>
    <n v="2.066291461711732E-2"/>
    <n v="0.14198521779152165"/>
  </r>
  <r>
    <x v="13"/>
    <n v="10"/>
    <n v="20"/>
    <n v="16.260000000000002"/>
    <n v="3.1415926535897934E-2"/>
    <n v="0.22987033446316521"/>
  </r>
  <r>
    <x v="13"/>
    <n v="11"/>
    <n v="25.37"/>
    <n v="17.39"/>
    <n v="5.0551123915482714E-2"/>
    <n v="0.39558782020061001"/>
  </r>
  <r>
    <x v="13"/>
    <n v="12"/>
    <n v="17.989999999999998"/>
    <n v="15.76"/>
    <n v="2.5418634014176645E-2"/>
    <n v="0.18026895242854077"/>
  </r>
  <r>
    <x v="13"/>
    <n v="13"/>
    <n v="22.87"/>
    <n v="16.89"/>
    <n v="4.1079222064909486E-2"/>
    <n v="0.31222262730434452"/>
  </r>
  <r>
    <x v="13"/>
    <n v="14"/>
    <n v="17"/>
    <n v="15.49"/>
    <n v="2.2698006922186254E-2"/>
    <n v="0.15821645725109929"/>
  </r>
  <r>
    <x v="13"/>
    <n v="15"/>
    <n v="18.09"/>
    <n v="15.78"/>
    <n v="2.5702005671530453E-2"/>
    <n v="0.18250994227353773"/>
  </r>
  <r>
    <x v="13"/>
    <n v="16"/>
    <n v="21.75"/>
    <n v="16.66"/>
    <n v="3.7154241867220536E-2"/>
    <n v="0.27854535127855234"/>
  </r>
  <r>
    <x v="13"/>
    <n v="17"/>
    <n v="17.28"/>
    <n v="15.57"/>
    <n v="2.3451863495341663E-2"/>
    <n v="0.16431548158011136"/>
  </r>
  <r>
    <x v="13"/>
    <n v="18"/>
    <n v="13.19"/>
    <n v="14.28"/>
    <n v="1.3664050941505079E-2"/>
    <n v="8.7805191350111639E-2"/>
  </r>
  <r>
    <x v="13"/>
    <n v="19"/>
    <n v="25.06"/>
    <n v="17.329999999999998"/>
    <n v="4.9323287404698567E-2"/>
    <n v="0.38464765682554175"/>
  </r>
  <r>
    <x v="13"/>
    <n v="20"/>
    <n v="21.44"/>
    <n v="16.59"/>
    <n v="3.6102680120229338E-2"/>
    <n v="0.26952455843757211"/>
  </r>
  <r>
    <x v="13"/>
    <n v="21"/>
    <n v="17.670000000000002"/>
    <n v="15.67"/>
    <n v="2.4522400461960556E-2"/>
    <n v="0.17291970685751487"/>
  </r>
  <r>
    <x v="13"/>
    <n v="22"/>
    <n v="12.02"/>
    <n v="13.85"/>
    <n v="1.1347464080692869E-2"/>
    <n v="7.0723069882918307E-2"/>
  </r>
  <r>
    <x v="13"/>
    <n v="23"/>
    <n v="27.61"/>
    <n v="17.79"/>
    <n v="5.9871852327565193E-2"/>
    <n v="0.47930411380832311"/>
  </r>
  <r>
    <x v="13"/>
    <n v="24"/>
    <n v="33.56"/>
    <n v="18.71"/>
    <n v="8.8457321692303248E-2"/>
    <n v="0.74476641998834725"/>
  </r>
  <r>
    <x v="13"/>
    <n v="25"/>
    <n v="20.83"/>
    <n v="16.45"/>
    <n v="3.4077554517853909E-2"/>
    <n v="0.25225909731841356"/>
  </r>
  <r>
    <x v="13"/>
    <n v="26"/>
    <n v="23.4"/>
    <n v="17"/>
    <n v="4.300526183499067E-2"/>
    <n v="0.32899025303767865"/>
  </r>
  <r>
    <x v="13"/>
    <n v="27"/>
    <n v="24.9"/>
    <n v="17.3"/>
    <n v="4.8695471528805184E-2"/>
    <n v="0.37909424585174839"/>
  </r>
  <r>
    <x v="13"/>
    <n v="28"/>
    <n v="17.190000000000001"/>
    <n v="15.54"/>
    <n v="2.3208209423110877E-2"/>
    <n v="0.16229500849581435"/>
  </r>
  <r>
    <x v="13"/>
    <n v="29"/>
    <n v="18.600000000000001"/>
    <n v="15.91"/>
    <n v="2.717163486089812E-2"/>
    <n v="0.19453531978660007"/>
  </r>
  <r>
    <x v="13"/>
    <n v="30"/>
    <n v="13.09"/>
    <n v="14.25"/>
    <n v="1.3457648304164229E-2"/>
    <n v="8.6297169750453123E-2"/>
  </r>
  <r>
    <x v="13"/>
    <n v="31"/>
    <n v="17.05"/>
    <n v="15.5"/>
    <n v="2.2831720959504673E-2"/>
    <n v="0.15925125369254509"/>
  </r>
  <r>
    <x v="13"/>
    <n v="32"/>
    <n v="22.49"/>
    <n v="16.809999999999999"/>
    <n v="3.9725446958624566E-2"/>
    <n v="0.30050314351851554"/>
  </r>
  <r>
    <x v="13"/>
    <n v="33"/>
    <n v="18.84"/>
    <n v="15.97"/>
    <n v="2.7877362234600533E-2"/>
    <n v="0.20034066369895673"/>
  </r>
  <r>
    <x v="13"/>
    <n v="34"/>
    <n v="19.14"/>
    <n v="16.05"/>
    <n v="2.8772244901975587E-2"/>
    <n v="0.20780753880451869"/>
  </r>
  <r>
    <x v="13"/>
    <n v="35"/>
    <n v="19.55"/>
    <n v="16.149999999999999"/>
    <n v="3.0018114154591324E-2"/>
    <n v="0.21815664461849243"/>
  </r>
  <r>
    <x v="13"/>
    <n v="36"/>
    <n v="12.55"/>
    <n v="14.05"/>
    <n v="1.2370217423050662E-2"/>
    <n v="7.8210699657237814E-2"/>
  </r>
  <r>
    <x v="13"/>
    <n v="37"/>
    <n v="23.35"/>
    <n v="16.989999999999998"/>
    <n v="4.2821675014296526E-2"/>
    <n v="0.32739311632180407"/>
  </r>
  <r>
    <x v="13"/>
    <n v="38"/>
    <n v="14.23"/>
    <n v="14.64"/>
    <n v="1.5903755176102315E-2"/>
    <n v="0.10477393910016206"/>
  </r>
  <r>
    <x v="13"/>
    <n v="39"/>
    <n v="19.170000000000002"/>
    <n v="16.059999999999999"/>
    <n v="2.8862510712894859E-2"/>
    <n v="0.20858936492209113"/>
  </r>
  <r>
    <x v="13"/>
    <n v="40"/>
    <n v="18.25"/>
    <n v="15.82"/>
    <n v="2.6158667579656264E-2"/>
    <n v="0.18622355449957295"/>
  </r>
  <r>
    <x v="13"/>
    <n v="41"/>
    <n v="19.13"/>
    <n v="16.05"/>
    <n v="2.874218771426236E-2"/>
    <n v="0.2075904507662599"/>
  </r>
  <r>
    <x v="13"/>
    <n v="42"/>
    <n v="25.84"/>
    <n v="17.47"/>
    <n v="5.244147519301913E-2"/>
    <n v="0.41226865722991984"/>
  </r>
  <r>
    <x v="13"/>
    <n v="43"/>
    <n v="17.670000000000002"/>
    <n v="15.67"/>
    <n v="2.4522400461960556E-2"/>
    <n v="0.17291970685751487"/>
  </r>
  <r>
    <x v="13"/>
    <n v="44"/>
    <n v="16.87"/>
    <n v="15.45"/>
    <n v="2.2352188256860733E-2"/>
    <n v="0.15540358885582425"/>
  </r>
  <r>
    <x v="13"/>
    <n v="45"/>
    <n v="13.92"/>
    <n v="14.54"/>
    <n v="1.5218377468813531E-2"/>
    <n v="9.9573843778446941E-2"/>
  </r>
  <r>
    <x v="13"/>
    <n v="46"/>
    <n v="16.78"/>
    <n v="15.43"/>
    <n v="2.2114330423075812E-2"/>
    <n v="0.15355085329262691"/>
  </r>
  <r>
    <x v="13"/>
    <n v="47"/>
    <n v="15.34"/>
    <n v="15"/>
    <n v="1.8481644005876856E-2"/>
    <n v="0.12475109703966877"/>
  </r>
  <r>
    <x v="13"/>
    <n v="48"/>
    <n v="21.63"/>
    <n v="16.63"/>
    <n v="3.6745394999282359E-2"/>
    <n v="0.27498416347712951"/>
  </r>
  <r>
    <x v="13"/>
    <n v="49"/>
    <n v="16.55"/>
    <n v="15.36"/>
    <n v="2.151225204499696E-2"/>
    <n v="0.14869268613501899"/>
  </r>
  <r>
    <x v="13"/>
    <n v="50"/>
    <n v="21.22"/>
    <n v="16.54"/>
    <n v="3.5365568235917549E-2"/>
    <n v="0.26322592437993431"/>
  </r>
  <r>
    <x v="13"/>
    <n v="51"/>
    <n v="19.41"/>
    <n v="16.12"/>
    <n v="2.9589726580347822E-2"/>
    <n v="0.21464387661384313"/>
  </r>
  <r>
    <x v="13"/>
    <n v="52"/>
    <n v="14.27"/>
    <n v="14.66"/>
    <n v="1.5993290566729625E-2"/>
    <n v="0.10550773786871534"/>
  </r>
  <r>
    <x v="13"/>
    <n v="53"/>
    <n v="16.84"/>
    <n v="15.44"/>
    <n v="2.2272760940596343E-2"/>
    <n v="0.15475114301526341"/>
  </r>
  <r>
    <x v="13"/>
    <n v="54"/>
    <n v="23.54"/>
    <n v="17.03"/>
    <n v="4.3521394092048936E-2"/>
    <n v="0.33352620362441704"/>
  </r>
  <r>
    <x v="13"/>
    <n v="55"/>
    <n v="23.61"/>
    <n v="17.05"/>
    <n v="4.3780614755878272E-2"/>
    <n v="0.33590676671447606"/>
  </r>
  <r>
    <x v="13"/>
    <n v="56"/>
    <n v="28.02"/>
    <n v="17.86"/>
    <n v="6.1663212020586992E-2"/>
    <n v="0.49558723500945767"/>
  </r>
  <r>
    <x v="13"/>
    <n v="57"/>
    <n v="19.989999999999998"/>
    <n v="16.25"/>
    <n v="3.1384518463343662E-2"/>
    <n v="0.22949929126320051"/>
  </r>
  <r>
    <x v="13"/>
    <n v="58"/>
    <n v="14.02"/>
    <n v="14.57"/>
    <n v="1.5437817715666779E-2"/>
    <n v="0.10121805185276923"/>
  </r>
  <r>
    <x v="13"/>
    <n v="59"/>
    <n v="16.93"/>
    <n v="15.47"/>
    <n v="2.2511467004397726E-2"/>
    <n v="0.15671357755111476"/>
  </r>
  <r>
    <x v="13"/>
    <n v="60"/>
    <n v="21.63"/>
    <n v="16.63"/>
    <n v="3.6745394999282359E-2"/>
    <n v="0.27498416347712951"/>
  </r>
  <r>
    <x v="13"/>
    <n v="61"/>
    <n v="27.6"/>
    <n v="17.79"/>
    <n v="5.9828490494964026E-2"/>
    <n v="0.47895698065743453"/>
  </r>
  <r>
    <x v="13"/>
    <n v="62"/>
    <n v="20.440000000000001"/>
    <n v="16.36"/>
    <n v="3.2813432611920816E-2"/>
    <n v="0.24157249088896104"/>
  </r>
  <r>
    <x v="13"/>
    <n v="63"/>
    <n v="24.56"/>
    <n v="17.23"/>
    <n v="4.7374714561309504E-2"/>
    <n v="0.36731984935111328"/>
  </r>
  <r>
    <x v="13"/>
    <n v="64"/>
    <n v="23.07"/>
    <n v="16.940000000000001"/>
    <n v="4.1800845897439064E-2"/>
    <n v="0.31864784827617798"/>
  </r>
  <r>
    <x v="13"/>
    <n v="65"/>
    <n v="15.33"/>
    <n v="15"/>
    <n v="1.8457555844205459E-2"/>
    <n v="0.12458850194838686"/>
  </r>
  <r>
    <x v="13"/>
    <n v="66"/>
    <n v="19.32"/>
    <n v="16.09"/>
    <n v="2.9315960342532373E-2"/>
    <n v="0.21226221086010563"/>
  </r>
  <r>
    <x v="13"/>
    <n v="67"/>
    <n v="25.22"/>
    <n v="17.36"/>
    <n v="4.995512451918855E-2"/>
    <n v="0.39024943274390095"/>
  </r>
  <r>
    <x v="13"/>
    <n v="68"/>
    <n v="23.5"/>
    <n v="17.02"/>
    <n v="4.3373613573624084E-2"/>
    <n v="0.33219850636038689"/>
  </r>
  <r>
    <x v="13"/>
    <n v="69"/>
    <n v="21.86"/>
    <n v="16.68"/>
    <n v="3.7531005220183926E-2"/>
    <n v="0.28170772518270054"/>
  </r>
  <r>
    <x v="13"/>
    <n v="70"/>
    <n v="21.91"/>
    <n v="16.690000000000001"/>
    <n v="3.7702889608243466E-2"/>
    <n v="0.28316755240271257"/>
  </r>
  <r>
    <x v="13"/>
    <n v="71"/>
    <n v="18.03"/>
    <n v="15.77"/>
    <n v="2.5531794181558959E-2"/>
    <n v="0.18118637740943314"/>
  </r>
  <r>
    <x v="13"/>
    <n v="72"/>
    <n v="14.72"/>
    <n v="14.81"/>
    <n v="1.7017881740789768E-2"/>
    <n v="0.11341567286149343"/>
  </r>
  <r>
    <x v="13"/>
    <n v="73"/>
    <n v="25.18"/>
    <n v="17.350000000000001"/>
    <n v="4.9796788249447624E-2"/>
    <n v="0.38878842425756238"/>
  </r>
  <r>
    <x v="13"/>
    <n v="74"/>
    <n v="14.32"/>
    <n v="14.67"/>
    <n v="1.6105563234187291E-2"/>
    <n v="0.10632087569048741"/>
  </r>
  <r>
    <x v="13"/>
    <n v="75"/>
    <n v="16.239999999999998"/>
    <n v="15.27"/>
    <n v="2.0713902665885082E-2"/>
    <n v="0.14233558216862935"/>
  </r>
  <r>
    <x v="13"/>
    <n v="76"/>
    <n v="22.52"/>
    <n v="16.82"/>
    <n v="3.9831499272628121E-2"/>
    <n v="0.30148461799452225"/>
  </r>
  <r>
    <x v="13"/>
    <n v="77"/>
    <n v="14.95"/>
    <n v="14.88"/>
    <n v="1.7553845301473817E-2"/>
    <n v="0.11754054813866868"/>
  </r>
  <r>
    <x v="13"/>
    <n v="78"/>
    <n v="17.79"/>
    <n v="15.7"/>
    <n v="2.4856603088449433E-2"/>
    <n v="0.17561190081989525"/>
  </r>
  <r>
    <x v="13"/>
    <n v="79"/>
    <n v="15.27"/>
    <n v="14.98"/>
    <n v="1.8313356741405686E-2"/>
    <n v="0.12345033779381574"/>
  </r>
  <r>
    <x v="13"/>
    <n v="80"/>
    <n v="22.48"/>
    <n v="16.809999999999999"/>
    <n v="3.9690127603216586E-2"/>
    <n v="0.30023597025453186"/>
  </r>
  <r>
    <x v="13"/>
    <n v="81"/>
    <n v="21.79"/>
    <n v="16.66"/>
    <n v="3.7291026811357833E-2"/>
    <n v="0.27957082800474969"/>
  </r>
  <r>
    <x v="13"/>
    <n v="82"/>
    <n v="21.69"/>
    <n v="16.64"/>
    <n v="3.6949535689912633E-2"/>
    <n v="0.27667812324606583"/>
  </r>
  <r>
    <x v="13"/>
    <n v="83"/>
    <n v="21.77"/>
    <n v="16.66"/>
    <n v="3.7222602923362651E-2"/>
    <n v="0.27905785411644979"/>
  </r>
  <r>
    <x v="13"/>
    <n v="84"/>
    <n v="22.23"/>
    <n v="16.760000000000002"/>
    <n v="3.8812248806079086E-2"/>
    <n v="0.29272198049544851"/>
  </r>
  <r>
    <x v="13"/>
    <n v="85"/>
    <n v="22.56"/>
    <n v="16.829999999999998"/>
    <n v="3.9973122269451947E-2"/>
    <n v="0.3027364415076943"/>
  </r>
  <r>
    <x v="13"/>
    <n v="86"/>
    <n v="12.13"/>
    <n v="13.89"/>
    <n v="1.1556105102799403E-2"/>
    <n v="7.2231434945047676E-2"/>
  </r>
  <r>
    <x v="13"/>
    <n v="87"/>
    <n v="19.399999999999999"/>
    <n v="16.12"/>
    <n v="2.9559245277626361E-2"/>
    <n v="0.21442276524390164"/>
  </r>
  <r>
    <x v="13"/>
    <n v="88"/>
    <n v="20.45"/>
    <n v="16.36"/>
    <n v="3.2845547542822137E-2"/>
    <n v="0.24180892101025656"/>
  </r>
  <r>
    <x v="13"/>
    <n v="89"/>
    <n v="22.9"/>
    <n v="16.899999999999999"/>
    <n v="4.1187065086725587E-2"/>
    <n v="0.31322762998454812"/>
  </r>
  <r>
    <x v="13"/>
    <n v="90"/>
    <n v="15.25"/>
    <n v="14.97"/>
    <n v="1.8265416037511906E-2"/>
    <n v="0.12304497513669897"/>
  </r>
  <r>
    <x v="13"/>
    <n v="91"/>
    <n v="18"/>
    <n v="15.76"/>
    <n v="2.5446900494077322E-2"/>
    <n v="0.18046941830399638"/>
  </r>
  <r>
    <x v="13"/>
    <n v="92"/>
    <n v="15.71"/>
    <n v="15.11"/>
    <n v="1.9383948685896019E-2"/>
    <n v="0.13180115908974999"/>
  </r>
  <r>
    <x v="13"/>
    <n v="93"/>
    <n v="24.23"/>
    <n v="17.170000000000002"/>
    <n v="4.6110168540368174E-2"/>
    <n v="0.35627021722715474"/>
  </r>
  <r>
    <x v="13"/>
    <n v="94"/>
    <n v="25.12"/>
    <n v="17.34"/>
    <n v="4.955975508373428E-2"/>
    <n v="0.38671476891837858"/>
  </r>
  <r>
    <x v="13"/>
    <n v="95"/>
    <n v="23.15"/>
    <n v="16.95"/>
    <n v="4.2091254722336893E-2"/>
    <n v="0.32105104539462465"/>
  </r>
  <r>
    <x v="13"/>
    <n v="96"/>
    <n v="15.11"/>
    <n v="14.93"/>
    <n v="1.7931590402141456E-2"/>
    <n v="0.12047339011678737"/>
  </r>
  <r>
    <x v="13"/>
    <n v="97"/>
    <n v="21.81"/>
    <n v="16.670000000000002"/>
    <n v="3.735951353120609E-2"/>
    <n v="0.2802523907543425"/>
  </r>
  <r>
    <x v="13"/>
    <n v="98"/>
    <n v="24.6"/>
    <n v="17.239999999999998"/>
    <n v="4.7529155256159986E-2"/>
    <n v="0.36873118647728914"/>
  </r>
  <r>
    <x v="13"/>
    <n v="99"/>
    <n v="20.67"/>
    <n v="16.41"/>
    <n v="3.3556050137358004E-2"/>
    <n v="0.24779465223932021"/>
  </r>
  <r>
    <x v="13"/>
    <n v="100"/>
    <n v="17.739999999999998"/>
    <n v="15.69"/>
    <n v="2.4717077104721874E-2"/>
    <n v="0.17451492289788878"/>
  </r>
  <r>
    <x v="14"/>
    <n v="1"/>
    <n v="15.66"/>
    <n v="21.63"/>
    <n v="1.9260758983967129E-2"/>
    <n v="0.18747459757044405"/>
  </r>
  <r>
    <x v="14"/>
    <n v="2"/>
    <n v="17.34"/>
    <n v="22.32"/>
    <n v="2.3615006401842577E-2"/>
    <n v="0.23718912430010688"/>
  </r>
  <r>
    <x v="14"/>
    <n v="3"/>
    <n v="22.86"/>
    <n v="24.2"/>
    <n v="4.1043305806897322E-2"/>
    <n v="0.44696160023711184"/>
  </r>
  <r>
    <x v="14"/>
    <n v="4"/>
    <n v="18.27"/>
    <n v="22.68"/>
    <n v="2.6216033061510807E-2"/>
    <n v="0.2675608334257793"/>
  </r>
  <r>
    <x v="14"/>
    <n v="5"/>
    <n v="20.91"/>
    <n v="23.59"/>
    <n v="3.4339814672575582E-2"/>
    <n v="0.36453430265672609"/>
  </r>
  <r>
    <x v="14"/>
    <n v="6"/>
    <n v="25.18"/>
    <n v="24.85"/>
    <n v="4.9796788249447624E-2"/>
    <n v="0.55685258459944809"/>
  </r>
  <r>
    <x v="14"/>
    <n v="7"/>
    <n v="22.31"/>
    <n v="24.03"/>
    <n v="3.9092101879660862E-2"/>
    <n v="0.42272244367571277"/>
  </r>
  <r>
    <x v="14"/>
    <n v="8"/>
    <n v="25.46"/>
    <n v="24.93"/>
    <n v="5.0910420013292143E-2"/>
    <n v="0.57113854691911792"/>
  </r>
  <r>
    <x v="14"/>
    <n v="9"/>
    <n v="13.19"/>
    <n v="20.46"/>
    <n v="1.3664050941505079E-2"/>
    <n v="0.12580491701843727"/>
  </r>
  <r>
    <x v="14"/>
    <n v="10"/>
    <n v="18.88"/>
    <n v="22.9"/>
    <n v="2.7995863109493934E-2"/>
    <n v="0.28849736934333498"/>
  </r>
  <r>
    <x v="14"/>
    <n v="11"/>
    <n v="20.260000000000002"/>
    <n v="23.38"/>
    <n v="3.2238049917415849E-2"/>
    <n v="0.33917652318113217"/>
  </r>
  <r>
    <x v="14"/>
    <n v="12"/>
    <n v="22.31"/>
    <n v="24.03"/>
    <n v="3.9092101879660862E-2"/>
    <n v="0.42272244367571277"/>
  </r>
  <r>
    <x v="14"/>
    <n v="13"/>
    <n v="15.32"/>
    <n v="21.48"/>
    <n v="1.8433483390497326E-2"/>
    <n v="0.17817805045254717"/>
  </r>
  <r>
    <x v="14"/>
    <n v="14"/>
    <n v="23.22"/>
    <n v="24.31"/>
    <n v="4.2346187112194067E-2"/>
    <n v="0.46324611391384701"/>
  </r>
  <r>
    <x v="14"/>
    <n v="15"/>
    <n v="21.23"/>
    <n v="23.7"/>
    <n v="3.5398908387953773E-2"/>
    <n v="0.37752935795752696"/>
  </r>
  <r>
    <x v="14"/>
    <n v="16"/>
    <n v="21.06"/>
    <n v="23.64"/>
    <n v="3.4834262086342445E-2"/>
    <n v="0.37056688007451094"/>
  </r>
  <r>
    <x v="14"/>
    <n v="17"/>
    <n v="22.03"/>
    <n v="23.95"/>
    <n v="3.8117014351839666E-2"/>
    <n v="0.410806122176952"/>
  </r>
  <r>
    <x v="14"/>
    <n v="18"/>
    <n v="19.53"/>
    <n v="23.13"/>
    <n v="2.9956727434140181E-2"/>
    <n v="0.31180459749824807"/>
  </r>
  <r>
    <x v="14"/>
    <n v="19"/>
    <n v="23.7"/>
    <n v="24.44"/>
    <n v="4.4115029439871264E-2"/>
    <n v="0.48517709377970425"/>
  </r>
  <r>
    <x v="14"/>
    <n v="20"/>
    <n v="22.59"/>
    <n v="24.12"/>
    <n v="4.0079504450684138E-2"/>
    <n v="0.43502294130772567"/>
  </r>
  <r>
    <x v="14"/>
    <n v="21"/>
    <n v="19.399999999999999"/>
    <n v="23.08"/>
    <n v="2.9559245277626361E-2"/>
    <n v="0.30700232145342737"/>
  </r>
  <r>
    <x v="14"/>
    <n v="22"/>
    <n v="24.16"/>
    <n v="24.57"/>
    <n v="4.584413062048056E-2"/>
    <n v="0.50687563020534332"/>
  </r>
  <r>
    <x v="14"/>
    <n v="23"/>
    <n v="21.17"/>
    <n v="23.68"/>
    <n v="3.5199103095185473E-2"/>
    <n v="0.37508164258229643"/>
  </r>
  <r>
    <x v="14"/>
    <n v="24"/>
    <n v="22.68"/>
    <n v="24.14"/>
    <n v="4.0399499224397159E-2"/>
    <n v="0.43885976007462635"/>
  </r>
  <r>
    <x v="14"/>
    <n v="25"/>
    <n v="17.62"/>
    <n v="22.43"/>
    <n v="2.4383816956029074E-2"/>
    <n v="0.24611805644567944"/>
  </r>
  <r>
    <x v="14"/>
    <n v="26"/>
    <n v="26.32"/>
    <n v="25.16"/>
    <n v="5.4407860866754046E-2"/>
    <n v="0.61600580073338929"/>
  </r>
  <r>
    <x v="14"/>
    <n v="27"/>
    <n v="19.98"/>
    <n v="23.28"/>
    <n v="3.1353126098752668E-2"/>
    <n v="0.32845534901053297"/>
  </r>
  <r>
    <x v="14"/>
    <n v="28"/>
    <n v="23.39"/>
    <n v="24.35"/>
    <n v="4.2968513054925321E-2"/>
    <n v="0.47082748179934431"/>
  </r>
  <r>
    <x v="14"/>
    <n v="29"/>
    <n v="19.600000000000001"/>
    <n v="23.15"/>
    <n v="3.0171855845076378E-2"/>
    <n v="0.31431530826608317"/>
  </r>
  <r>
    <x v="14"/>
    <n v="30"/>
    <n v="18.88"/>
    <n v="22.9"/>
    <n v="2.7995863109493934E-2"/>
    <n v="0.28849736934333498"/>
  </r>
  <r>
    <x v="14"/>
    <n v="31"/>
    <n v="23.14"/>
    <n v="24.28"/>
    <n v="4.2054898641353228E-2"/>
    <n v="0.45949182255542542"/>
  </r>
  <r>
    <x v="14"/>
    <n v="32"/>
    <n v="13.66"/>
    <n v="20.7"/>
    <n v="1.465518415380449E-2"/>
    <n v="0.1365130403926888"/>
  </r>
  <r>
    <x v="14"/>
    <n v="33"/>
    <n v="21.91"/>
    <n v="23.91"/>
    <n v="3.7702889608243466E-2"/>
    <n v="0.4056642407398956"/>
  </r>
  <r>
    <x v="14"/>
    <n v="34"/>
    <n v="21.57"/>
    <n v="23.81"/>
    <n v="3.654181979532975E-2"/>
    <n v="0.3915273281970606"/>
  </r>
  <r>
    <x v="14"/>
    <n v="35"/>
    <n v="9.2200000000000006"/>
    <n v="18.03"/>
    <n v="6.6765441233355644E-3"/>
    <n v="5.4170140744683105E-2"/>
  </r>
  <r>
    <x v="14"/>
    <n v="36"/>
    <n v="21.47"/>
    <n v="23.77"/>
    <n v="3.6203784425803472E-2"/>
    <n v="0.38725378011060685"/>
  </r>
  <r>
    <x v="14"/>
    <n v="37"/>
    <n v="11.33"/>
    <n v="19.43"/>
    <n v="1.008206982973507E-2"/>
    <n v="8.815257755628858E-2"/>
  </r>
  <r>
    <x v="14"/>
    <n v="38"/>
    <n v="22.64"/>
    <n v="24.13"/>
    <n v="4.0257122245336473E-2"/>
    <n v="0.43713196190098608"/>
  </r>
  <r>
    <x v="14"/>
    <n v="39"/>
    <n v="18.18"/>
    <n v="22.64"/>
    <n v="2.595838319400828E-2"/>
    <n v="0.26446400798055636"/>
  </r>
  <r>
    <x v="14"/>
    <n v="40"/>
    <n v="17.22"/>
    <n v="22.27"/>
    <n v="2.3289286075518386E-2"/>
    <n v="0.23339358040580749"/>
  </r>
  <r>
    <x v="14"/>
    <n v="41"/>
    <n v="19.97"/>
    <n v="23.28"/>
    <n v="3.1321749442124937E-2"/>
    <n v="0.32812664715570089"/>
  </r>
  <r>
    <x v="14"/>
    <n v="42"/>
    <n v="25.49"/>
    <n v="24.94"/>
    <n v="5.1030468122567431E-2"/>
    <n v="0.57271494373957432"/>
  </r>
  <r>
    <x v="14"/>
    <n v="43"/>
    <n v="17.46"/>
    <n v="22.37"/>
    <n v="2.3942988674877354E-2"/>
    <n v="0.2410220954956529"/>
  </r>
  <r>
    <x v="14"/>
    <n v="44"/>
    <n v="22.23"/>
    <n v="24.01"/>
    <n v="3.8812248806079086E-2"/>
    <n v="0.41934694222528152"/>
  </r>
  <r>
    <x v="14"/>
    <n v="45"/>
    <n v="21.36"/>
    <n v="23.74"/>
    <n v="3.5833759789082043E-2"/>
    <n v="0.38281205582676348"/>
  </r>
  <r>
    <x v="14"/>
    <n v="46"/>
    <n v="15.28"/>
    <n v="21.46"/>
    <n v="1.8337350655297478E-2"/>
    <n v="0.17708379527820775"/>
  </r>
  <r>
    <x v="14"/>
    <n v="47"/>
    <n v="13.04"/>
    <n v="20.38"/>
    <n v="1.3355036034116353E-2"/>
    <n v="0.12247903546888106"/>
  </r>
  <r>
    <x v="14"/>
    <n v="48"/>
    <n v="12.03"/>
    <n v="19.84"/>
    <n v="1.1366352906522574E-2"/>
    <n v="0.10147879874943354"/>
  </r>
  <r>
    <x v="14"/>
    <n v="49"/>
    <n v="22.21"/>
    <n v="24"/>
    <n v="3.8742442617316325E-2"/>
    <n v="0.41841838026701633"/>
  </r>
  <r>
    <x v="14"/>
    <n v="50"/>
    <n v="19.86"/>
    <n v="23.24"/>
    <n v="3.0977642944795623E-2"/>
    <n v="0.32396418991667258"/>
  </r>
  <r>
    <x v="14"/>
    <n v="51"/>
    <n v="27.4"/>
    <n v="25.43"/>
    <n v="5.8964552515226816E-2"/>
    <n v="0.67476085670799812"/>
  </r>
  <r>
    <x v="14"/>
    <n v="52"/>
    <n v="22.29"/>
    <n v="24.03"/>
    <n v="3.902204436348581E-2"/>
    <n v="0.42196487672455385"/>
  </r>
  <r>
    <x v="14"/>
    <n v="53"/>
    <n v="23.4"/>
    <n v="24.36"/>
    <n v="4.300526183499067E-2"/>
    <n v="0.47142368023516779"/>
  </r>
  <r>
    <x v="14"/>
    <n v="54"/>
    <n v="25.34"/>
    <n v="24.9"/>
    <n v="5.0431641292885056E-2"/>
    <n v="0.56508654068677699"/>
  </r>
  <r>
    <x v="14"/>
    <n v="55"/>
    <n v="18"/>
    <n v="22.57"/>
    <n v="2.5446900494077322E-2"/>
    <n v="0.25845144486809635"/>
  </r>
  <r>
    <x v="14"/>
    <n v="56"/>
    <n v="22.04"/>
    <n v="23.95"/>
    <n v="3.815162684890059E-2"/>
    <n v="0.41117915836402613"/>
  </r>
  <r>
    <x v="14"/>
    <n v="57"/>
    <n v="23.48"/>
    <n v="24.38"/>
    <n v="4.3299817562191263E-2"/>
    <n v="0.4750422984748004"/>
  </r>
  <r>
    <x v="14"/>
    <n v="58"/>
    <n v="25.48"/>
    <n v="24.93"/>
    <n v="5.0990436378179071E-2"/>
    <n v="0.57203621050860187"/>
  </r>
  <r>
    <x v="14"/>
    <n v="59"/>
    <n v="23.05"/>
    <n v="24.25"/>
    <n v="4.1728400770847274E-2"/>
    <n v="0.45536117341187093"/>
  </r>
  <r>
    <x v="14"/>
    <n v="60"/>
    <n v="21.68"/>
    <n v="23.84"/>
    <n v="3.6915472971566075E-2"/>
    <n v="0.39602919403896086"/>
  </r>
  <r>
    <x v="14"/>
    <n v="61"/>
    <n v="16.53"/>
    <n v="21.99"/>
    <n v="2.1460290102506583E-2"/>
    <n v="0.21236030070935388"/>
  </r>
  <r>
    <x v="14"/>
    <n v="62"/>
    <n v="22.92"/>
    <n v="24.22"/>
    <n v="4.1259038974419335E-2"/>
    <n v="0.44968226578219633"/>
  </r>
  <r>
    <x v="14"/>
    <n v="63"/>
    <n v="22"/>
    <n v="23.94"/>
    <n v="3.8013271108436497E-2"/>
    <n v="0.40951696965118645"/>
  </r>
  <r>
    <x v="14"/>
    <n v="64"/>
    <n v="22.54"/>
    <n v="24.1"/>
    <n v="3.99022793551135E-2"/>
    <n v="0.43274021960620596"/>
  </r>
  <r>
    <x v="14"/>
    <n v="65"/>
    <n v="21.69"/>
    <n v="23.84"/>
    <n v="3.6949535689912633E-2"/>
    <n v="0.39639461888138272"/>
  </r>
  <r>
    <x v="14"/>
    <n v="66"/>
    <n v="19.190000000000001"/>
    <n v="23.01"/>
    <n v="2.8922766459990708E-2"/>
    <n v="0.29948078530997385"/>
  </r>
  <r>
    <x v="14"/>
    <n v="67"/>
    <n v="19.690000000000001"/>
    <n v="23.19"/>
    <n v="3.044958048963535E-2"/>
    <n v="0.31775659719958976"/>
  </r>
  <r>
    <x v="14"/>
    <n v="68"/>
    <n v="22.75"/>
    <n v="24.17"/>
    <n v="4.0649263694339181E-2"/>
    <n v="0.44212171657148014"/>
  </r>
  <r>
    <x v="14"/>
    <n v="69"/>
    <n v="20.69"/>
    <n v="23.52"/>
    <n v="3.3621018273434243E-2"/>
    <n v="0.355844857406028"/>
  </r>
  <r>
    <x v="14"/>
    <n v="70"/>
    <n v="16.68"/>
    <n v="22.06"/>
    <n v="2.1851536197603022E-2"/>
    <n v="0.21692019983360519"/>
  </r>
  <r>
    <x v="14"/>
    <n v="71"/>
    <n v="18.84"/>
    <n v="22.88"/>
    <n v="2.7877362234600533E-2"/>
    <n v="0.28702532156744709"/>
  </r>
  <r>
    <x v="14"/>
    <n v="72"/>
    <n v="14.72"/>
    <n v="21.21"/>
    <n v="1.7017881740789768E-2"/>
    <n v="0.16242717227496797"/>
  </r>
  <r>
    <x v="14"/>
    <n v="73"/>
    <n v="16.13"/>
    <n v="21.83"/>
    <n v="2.0434245941844155E-2"/>
    <n v="0.20073581500970603"/>
  </r>
  <r>
    <x v="14"/>
    <n v="74"/>
    <n v="19.420000000000002"/>
    <n v="23.09"/>
    <n v="2.962022359103255E-2"/>
    <n v="0.30776893322262372"/>
  </r>
  <r>
    <x v="14"/>
    <n v="75"/>
    <n v="12.81"/>
    <n v="20.260000000000002"/>
    <n v="1.2888077556068401E-2"/>
    <n v="0.11750060307867563"/>
  </r>
  <r>
    <x v="14"/>
    <n v="76"/>
    <n v="13.25"/>
    <n v="20.49"/>
    <n v="1.3788646506146453E-2"/>
    <n v="0.12713821510992335"/>
  </r>
  <r>
    <x v="14"/>
    <n v="77"/>
    <n v="24.41"/>
    <n v="24.64"/>
    <n v="4.6797800340385914E-2"/>
    <n v="0.51889401017419901"/>
  </r>
  <r>
    <x v="14"/>
    <n v="78"/>
    <n v="17.690000000000001"/>
    <n v="22.46"/>
    <n v="2.4577943820076026E-2"/>
    <n v="0.24840927818950842"/>
  </r>
  <r>
    <x v="14"/>
    <n v="79"/>
    <n v="12.59"/>
    <n v="20.149999999999999"/>
    <n v="1.2449197062361906E-2"/>
    <n v="0.11288309436296658"/>
  </r>
  <r>
    <x v="14"/>
    <n v="80"/>
    <n v="19.55"/>
    <n v="23.14"/>
    <n v="3.0018114154591324E-2"/>
    <n v="0.31257862269175946"/>
  </r>
  <r>
    <x v="14"/>
    <n v="81"/>
    <n v="25.28"/>
    <n v="24.88"/>
    <n v="5.0193100162697984E-2"/>
    <n v="0.56196194942156663"/>
  </r>
  <r>
    <x v="14"/>
    <n v="82"/>
    <n v="22.65"/>
    <n v="24.14"/>
    <n v="4.0292692928156737E-2"/>
    <n v="0.43769952327856665"/>
  </r>
  <r>
    <x v="14"/>
    <n v="83"/>
    <n v="21.77"/>
    <n v="23.86"/>
    <n v="3.7222602923362651E-2"/>
    <n v="0.39965908758814478"/>
  </r>
  <r>
    <x v="14"/>
    <n v="84"/>
    <n v="24.73"/>
    <n v="24.73"/>
    <n v="4.8032823244365128E-2"/>
    <n v="0.53453327347491741"/>
  </r>
  <r>
    <x v="14"/>
    <n v="85"/>
    <n v="16.91"/>
    <n v="22.15"/>
    <n v="2.2458311256698987E-2"/>
    <n v="0.22385321745114714"/>
  </r>
  <r>
    <x v="14"/>
    <n v="86"/>
    <n v="22.92"/>
    <n v="24.22"/>
    <n v="4.1259038974419335E-2"/>
    <n v="0.44968226578219633"/>
  </r>
  <r>
    <x v="14"/>
    <n v="87"/>
    <n v="17.649999999999999"/>
    <n v="22.44"/>
    <n v="2.4466919935698151E-2"/>
    <n v="0.24706695751067992"/>
  </r>
  <r>
    <x v="14"/>
    <n v="88"/>
    <n v="20"/>
    <n v="23.29"/>
    <n v="3.1415926535897934E-2"/>
    <n v="0.32925461805947831"/>
  </r>
  <r>
    <x v="14"/>
    <n v="89"/>
    <n v="28.86"/>
    <n v="25.78"/>
    <n v="6.5415781613446924E-2"/>
    <n v="0.75888848249759777"/>
  </r>
  <r>
    <x v="14"/>
    <n v="90"/>
    <n v="23.88"/>
    <n v="24.49"/>
    <n v="4.4787675842931376E-2"/>
    <n v="0.49358258162702517"/>
  </r>
  <r>
    <x v="14"/>
    <n v="91"/>
    <n v="23.07"/>
    <n v="24.26"/>
    <n v="4.1800845897439064E-2"/>
    <n v="0.45633983466234229"/>
  </r>
  <r>
    <x v="14"/>
    <n v="92"/>
    <n v="15.57"/>
    <n v="21.59"/>
    <n v="1.9040007122181006E-2"/>
    <n v="0.18498318919554957"/>
  </r>
  <r>
    <x v="14"/>
    <n v="93"/>
    <n v="16.86"/>
    <n v="22.13"/>
    <n v="2.2325696776809328E-2"/>
    <n v="0.2223304513518557"/>
  </r>
  <r>
    <x v="14"/>
    <n v="94"/>
    <n v="29.14"/>
    <n v="25.85"/>
    <n v="6.6691268230804387E-2"/>
    <n v="0.77578617769483205"/>
  </r>
  <r>
    <x v="14"/>
    <n v="95"/>
    <n v="15.63"/>
    <n v="21.61"/>
    <n v="1.9187033658369008E-2"/>
    <n v="0.1865843088108094"/>
  </r>
  <r>
    <x v="14"/>
    <n v="96"/>
    <n v="20.86"/>
    <n v="23.58"/>
    <n v="3.4175784266150026E-2"/>
    <n v="0.36263924684811794"/>
  </r>
  <r>
    <x v="14"/>
    <n v="97"/>
    <n v="23.57"/>
    <n v="24.41"/>
    <n v="4.3632394414481905E-2"/>
    <n v="0.47928003644587652"/>
  </r>
  <r>
    <x v="14"/>
    <n v="98"/>
    <n v="24.08"/>
    <n v="24.55"/>
    <n v="4.5541029761262203E-2"/>
    <n v="0.50311452628754416"/>
  </r>
  <r>
    <x v="14"/>
    <n v="99"/>
    <n v="24.36"/>
    <n v="24.63"/>
    <n v="4.6606280998241434E-2"/>
    <n v="0.51656071544400894"/>
  </r>
  <r>
    <x v="14"/>
    <n v="100"/>
    <n v="19.350000000000001"/>
    <n v="23.07"/>
    <n v="2.9407074383468113E-2"/>
    <n v="0.30528954271197423"/>
  </r>
  <r>
    <x v="15"/>
    <n v="1"/>
    <n v="16.72"/>
    <n v="11.26"/>
    <n v="2.1956465392232918E-2"/>
    <n v="0.11125341014244419"/>
  </r>
  <r>
    <x v="15"/>
    <n v="2"/>
    <n v="18.77"/>
    <n v="11.66"/>
    <n v="2.7670590460122883E-2"/>
    <n v="0.14518758814426477"/>
  </r>
  <r>
    <x v="15"/>
    <n v="3"/>
    <n v="16.39"/>
    <n v="11.19"/>
    <n v="2.109831579695997E-2"/>
    <n v="0.10624056919559192"/>
  </r>
  <r>
    <x v="15"/>
    <n v="4"/>
    <n v="22.51"/>
    <n v="12.29"/>
    <n v="3.9796132793330344E-2"/>
    <n v="0.22009251241351344"/>
  </r>
  <r>
    <x v="15"/>
    <n v="5"/>
    <n v="24.48"/>
    <n v="12.58"/>
    <n v="4.7066587153845423E-2"/>
    <n v="0.26644394987791897"/>
  </r>
  <r>
    <x v="15"/>
    <n v="6"/>
    <n v="28.51"/>
    <n v="13.11"/>
    <n v="6.3838741371253033E-2"/>
    <n v="0.37661665471970729"/>
  </r>
  <r>
    <x v="15"/>
    <n v="7"/>
    <n v="21.46"/>
    <n v="12.13"/>
    <n v="3.6170067282648828E-2"/>
    <n v="0.19743431226233865"/>
  </r>
  <r>
    <x v="15"/>
    <n v="8"/>
    <n v="16.5"/>
    <n v="11.22"/>
    <n v="2.138246499849553E-2"/>
    <n v="0.10796006577740394"/>
  </r>
  <r>
    <x v="15"/>
    <n v="9"/>
    <n v="24.1"/>
    <n v="12.53"/>
    <n v="4.5616710728287199E-2"/>
    <n v="0.25720982344144738"/>
  </r>
  <r>
    <x v="15"/>
    <n v="10"/>
    <n v="23.62"/>
    <n v="12.46"/>
    <n v="4.3817709111135535E-2"/>
    <n v="0.24568589498613697"/>
  </r>
  <r>
    <x v="15"/>
    <n v="11"/>
    <n v="19.05"/>
    <n v="11.71"/>
    <n v="2.8502295699234247E-2"/>
    <n v="0.1501928471871149"/>
  </r>
  <r>
    <x v="15"/>
    <n v="12"/>
    <n v="13.77"/>
    <n v="10.59"/>
    <n v="1.4892162341646403E-2"/>
    <n v="7.0968599639115934E-2"/>
  </r>
  <r>
    <x v="15"/>
    <n v="13"/>
    <n v="23.05"/>
    <n v="12.37"/>
    <n v="4.1728400770847274E-2"/>
    <n v="0.23228114289092133"/>
  </r>
  <r>
    <x v="15"/>
    <n v="14"/>
    <n v="24.52"/>
    <n v="12.59"/>
    <n v="4.7220525193871321E-2"/>
    <n v="0.26752788548587797"/>
  </r>
  <r>
    <x v="15"/>
    <n v="15"/>
    <n v="18.82"/>
    <n v="11.67"/>
    <n v="2.7818206044933437E-2"/>
    <n v="0.14608730904496794"/>
  </r>
  <r>
    <x v="15"/>
    <n v="16"/>
    <n v="22.14"/>
    <n v="12.24"/>
    <n v="3.8498615757489585E-2"/>
    <n v="0.21205037559225265"/>
  </r>
  <r>
    <x v="15"/>
    <n v="17"/>
    <n v="18.899999999999999"/>
    <n v="11.69"/>
    <n v="2.8055207794720247E-2"/>
    <n v="0.14758442060412585"/>
  </r>
  <r>
    <x v="15"/>
    <n v="18"/>
    <n v="22.73"/>
    <n v="12.33"/>
    <n v="4.0577823877396557E-2"/>
    <n v="0.22514605578373478"/>
  </r>
  <r>
    <x v="15"/>
    <n v="19"/>
    <n v="19.53"/>
    <n v="11.8"/>
    <n v="2.9956727434140181E-2"/>
    <n v="0.15907022267528437"/>
  </r>
  <r>
    <x v="15"/>
    <n v="20"/>
    <n v="18.62"/>
    <n v="11.64"/>
    <n v="2.7230099900181427E-2"/>
    <n v="0.14263126327715031"/>
  </r>
  <r>
    <x v="15"/>
    <n v="21"/>
    <n v="20.45"/>
    <n v="11.96"/>
    <n v="3.2845547542822137E-2"/>
    <n v="0.17677473687546877"/>
  </r>
  <r>
    <x v="15"/>
    <n v="22"/>
    <n v="18.87"/>
    <n v="11.68"/>
    <n v="2.7966214328825685E-2"/>
    <n v="0.14699042251230779"/>
  </r>
  <r>
    <x v="15"/>
    <n v="23"/>
    <n v="17.64"/>
    <n v="11.45"/>
    <n v="2.4439203234511861E-2"/>
    <n v="0.12592299466582235"/>
  </r>
  <r>
    <x v="15"/>
    <n v="24"/>
    <n v="18.739999999999998"/>
    <n v="11.66"/>
    <n v="2.7582209604795765E-2"/>
    <n v="0.14472385379636338"/>
  </r>
  <r>
    <x v="15"/>
    <n v="25"/>
    <n v="19.97"/>
    <n v="11.88"/>
    <n v="3.1321749442124937E-2"/>
    <n v="0.16744607251759994"/>
  </r>
  <r>
    <x v="15"/>
    <n v="26"/>
    <n v="20.83"/>
    <n v="12.02"/>
    <n v="3.4077554517853909E-2"/>
    <n v="0.1843254923870718"/>
  </r>
  <r>
    <x v="15"/>
    <n v="27"/>
    <n v="26.13"/>
    <n v="12.81"/>
    <n v="5.3625172327020312E-2"/>
    <n v="0.30912230587910861"/>
  </r>
  <r>
    <x v="15"/>
    <n v="28"/>
    <n v="14.57"/>
    <n v="10.79"/>
    <n v="1.6672817057701097E-2"/>
    <n v="8.095486322366767E-2"/>
  </r>
  <r>
    <x v="15"/>
    <n v="29"/>
    <n v="19.2"/>
    <n v="11.74"/>
    <n v="2.8952917895483536E-2"/>
    <n v="0.15295826524183953"/>
  </r>
  <r>
    <x v="15"/>
    <n v="30"/>
    <n v="22.53"/>
    <n v="12.3"/>
    <n v="3.9866881459889182E-2"/>
    <n v="0.22066318888048664"/>
  </r>
  <r>
    <x v="15"/>
    <n v="31"/>
    <n v="27.05"/>
    <n v="12.93"/>
    <n v="5.7467779965332137E-2"/>
    <n v="0.33437627772828504"/>
  </r>
  <r>
    <x v="15"/>
    <n v="32"/>
    <n v="21.7"/>
    <n v="12.17"/>
    <n v="3.6983614116222439E-2"/>
    <n v="0.20254076270749219"/>
  </r>
  <r>
    <x v="15"/>
    <n v="33"/>
    <n v="19.940000000000001"/>
    <n v="11.87"/>
    <n v="3.122771372002137E-2"/>
    <n v="0.16680283283549416"/>
  </r>
  <r>
    <x v="15"/>
    <n v="34"/>
    <n v="18.77"/>
    <n v="11.66"/>
    <n v="2.7670590460122883E-2"/>
    <n v="0.14518758814426477"/>
  </r>
  <r>
    <x v="15"/>
    <n v="35"/>
    <n v="21.66"/>
    <n v="12.16"/>
    <n v="3.6847394658762786E-2"/>
    <n v="0.20162894357274996"/>
  </r>
  <r>
    <x v="15"/>
    <n v="36"/>
    <n v="23.96"/>
    <n v="12.51"/>
    <n v="4.508826342802686E-2"/>
    <n v="0.25382437896807719"/>
  </r>
  <r>
    <x v="15"/>
    <n v="37"/>
    <n v="19.260000000000002"/>
    <n v="11.75"/>
    <n v="2.9134156375669136E-2"/>
    <n v="0.15404685183635056"/>
  </r>
  <r>
    <x v="15"/>
    <n v="38"/>
    <n v="20.66"/>
    <n v="12"/>
    <n v="3.352358963126479E-2"/>
    <n v="0.18102738400882989"/>
  </r>
  <r>
    <x v="15"/>
    <n v="39"/>
    <n v="20.87"/>
    <n v="12.03"/>
    <n v="3.4208558931508606E-2"/>
    <n v="0.18518803377572182"/>
  </r>
  <r>
    <x v="15"/>
    <n v="40"/>
    <n v="22.92"/>
    <n v="12.36"/>
    <n v="4.1259038974419335E-2"/>
    <n v="0.22948277477572032"/>
  </r>
  <r>
    <x v="15"/>
    <n v="41"/>
    <n v="24.45"/>
    <n v="12.58"/>
    <n v="4.6951298557440312E-2"/>
    <n v="0.26579130113366961"/>
  </r>
  <r>
    <x v="15"/>
    <n v="42"/>
    <n v="21.12"/>
    <n v="12.07"/>
    <n v="3.503303065353508E-2"/>
    <n v="0.19028190599467582"/>
  </r>
  <r>
    <x v="15"/>
    <n v="43"/>
    <n v="19.7"/>
    <n v="11.83"/>
    <n v="3.0480517323291569E-2"/>
    <n v="0.16226303397054267"/>
  </r>
  <r>
    <x v="15"/>
    <n v="44"/>
    <n v="25.58"/>
    <n v="12.74"/>
    <n v="5.1391460680409798E-2"/>
    <n v="0.29462724408078939"/>
  </r>
  <r>
    <x v="15"/>
    <n v="45"/>
    <n v="20.66"/>
    <n v="12"/>
    <n v="3.352358963126479E-2"/>
    <n v="0.18102738400882989"/>
  </r>
  <r>
    <x v="15"/>
    <n v="46"/>
    <n v="26.31"/>
    <n v="12.83"/>
    <n v="5.4366525361414439E-2"/>
    <n v="0.31388513417412628"/>
  </r>
  <r>
    <x v="15"/>
    <n v="47"/>
    <n v="19.75"/>
    <n v="11.84"/>
    <n v="3.0635437111021718E-2"/>
    <n v="0.16322560892752372"/>
  </r>
  <r>
    <x v="15"/>
    <n v="48"/>
    <n v="22.46"/>
    <n v="12.28"/>
    <n v="3.9619536016290424E-2"/>
    <n v="0.21893755602602089"/>
  </r>
  <r>
    <x v="15"/>
    <n v="49"/>
    <n v="13.82"/>
    <n v="10.6"/>
    <n v="1.5000508018287081E-2"/>
    <n v="7.155242324722938E-2"/>
  </r>
  <r>
    <x v="15"/>
    <n v="50"/>
    <n v="19.55"/>
    <n v="11.8"/>
    <n v="3.0018114154591324E-2"/>
    <n v="0.15939618616087994"/>
  </r>
  <r>
    <x v="15"/>
    <n v="51"/>
    <n v="19.91"/>
    <n v="11.87"/>
    <n v="3.1133819369587201E-2"/>
    <n v="0.16630129616265002"/>
  </r>
  <r>
    <x v="15"/>
    <n v="52"/>
    <n v="16.97"/>
    <n v="11.31"/>
    <n v="2.261796699535442E-2"/>
    <n v="0.11511414302285633"/>
  </r>
  <r>
    <x v="15"/>
    <n v="53"/>
    <n v="15.86"/>
    <n v="11.08"/>
    <n v="1.9755873986172876E-2"/>
    <n v="9.8502787695057964E-2"/>
  </r>
  <r>
    <x v="15"/>
    <n v="54"/>
    <n v="23.79"/>
    <n v="12.49"/>
    <n v="4.4450716468888971E-2"/>
    <n v="0.24983525191339048"/>
  </r>
  <r>
    <x v="15"/>
    <n v="55"/>
    <n v="23.66"/>
    <n v="12.47"/>
    <n v="4.3966243611797261E-2"/>
    <n v="0.24671657602760036"/>
  </r>
  <r>
    <x v="15"/>
    <n v="56"/>
    <n v="14.81"/>
    <n v="10.84"/>
    <n v="1.7226617010675908E-2"/>
    <n v="8.4031437778077075E-2"/>
  </r>
  <r>
    <x v="15"/>
    <n v="57"/>
    <n v="21.7"/>
    <n v="12.17"/>
    <n v="3.6983614116222439E-2"/>
    <n v="0.20254076270749219"/>
  </r>
  <r>
    <x v="15"/>
    <n v="58"/>
    <n v="15.55"/>
    <n v="11.01"/>
    <n v="1.8991123940491149E-2"/>
    <n v="9.4091523563163401E-2"/>
  </r>
  <r>
    <x v="15"/>
    <n v="59"/>
    <n v="15.8"/>
    <n v="11.07"/>
    <n v="1.9606679751053901E-2"/>
    <n v="9.7670675179875016E-2"/>
  </r>
  <r>
    <x v="15"/>
    <n v="60"/>
    <n v="22.1"/>
    <n v="12.23"/>
    <n v="3.8359631698494781E-2"/>
    <n v="0.21111223305266605"/>
  </r>
  <r>
    <x v="15"/>
    <n v="61"/>
    <n v="17.260000000000002"/>
    <n v="11.37"/>
    <n v="2.3397608190214171E-2"/>
    <n v="0.11971386230523079"/>
  </r>
  <r>
    <x v="15"/>
    <n v="62"/>
    <n v="23.97"/>
    <n v="12.51"/>
    <n v="4.5125907561998489E-2"/>
    <n v="0.2540362966202705"/>
  </r>
  <r>
    <x v="15"/>
    <n v="63"/>
    <n v="20.149999999999999"/>
    <n v="11.91"/>
    <n v="3.188893257980404E-2"/>
    <n v="0.17090873416145974"/>
  </r>
  <r>
    <x v="15"/>
    <n v="64"/>
    <n v="22.14"/>
    <n v="12.24"/>
    <n v="3.8498615757489585E-2"/>
    <n v="0.21205037559225265"/>
  </r>
  <r>
    <x v="15"/>
    <n v="65"/>
    <n v="17.91"/>
    <n v="11.5"/>
    <n v="2.5193067661648902E-2"/>
    <n v="0.13037412514903307"/>
  </r>
  <r>
    <x v="15"/>
    <n v="66"/>
    <n v="15.4"/>
    <n v="10.98"/>
    <n v="1.8626502843133885E-2"/>
    <n v="9.2033550547924531E-2"/>
  </r>
  <r>
    <x v="15"/>
    <n v="67"/>
    <n v="23.66"/>
    <n v="12.47"/>
    <n v="4.3966243611797261E-2"/>
    <n v="0.24671657602760036"/>
  </r>
  <r>
    <x v="15"/>
    <n v="68"/>
    <n v="20.95"/>
    <n v="12.04"/>
    <n v="3.4471321741054849E-2"/>
    <n v="0.18676562119303516"/>
  </r>
  <r>
    <x v="15"/>
    <n v="69"/>
    <n v="19.04"/>
    <n v="11.71"/>
    <n v="2.847237988319044E-2"/>
    <n v="0.15003520579447205"/>
  </r>
  <r>
    <x v="15"/>
    <n v="70"/>
    <n v="20.28"/>
    <n v="11.93"/>
    <n v="3.2301730000504111E-2"/>
    <n v="0.17341183750770633"/>
  </r>
  <r>
    <x v="15"/>
    <n v="71"/>
    <n v="25.3"/>
    <n v="12.7"/>
    <n v="5.0272551040907269E-2"/>
    <n v="0.28730762919878505"/>
  </r>
  <r>
    <x v="15"/>
    <n v="72"/>
    <n v="17.21"/>
    <n v="11.36"/>
    <n v="2.3262244816752622E-2"/>
    <n v="0.11891659550323939"/>
  </r>
  <r>
    <x v="15"/>
    <n v="73"/>
    <n v="17"/>
    <n v="11.32"/>
    <n v="2.2698006922186254E-2"/>
    <n v="0.11562364726161678"/>
  </r>
  <r>
    <x v="15"/>
    <n v="74"/>
    <n v="17.52"/>
    <n v="11.43"/>
    <n v="2.4107828041411209E-2"/>
    <n v="0.12399861353099854"/>
  </r>
  <r>
    <x v="15"/>
    <n v="75"/>
    <n v="13.66"/>
    <n v="10.56"/>
    <n v="1.465518415380449E-2"/>
    <n v="6.9641435098878934E-2"/>
  </r>
  <r>
    <x v="15"/>
    <n v="76"/>
    <n v="23.28"/>
    <n v="12.41"/>
    <n v="4.2565313199781969E-2"/>
    <n v="0.23770599156418243"/>
  </r>
  <r>
    <x v="15"/>
    <n v="77"/>
    <n v="20.77"/>
    <n v="12.01"/>
    <n v="3.3881519136269904E-2"/>
    <n v="0.18311267017197069"/>
  </r>
  <r>
    <x v="15"/>
    <n v="78"/>
    <n v="20.83"/>
    <n v="12.02"/>
    <n v="3.4077554517853909E-2"/>
    <n v="0.1843254923870718"/>
  </r>
  <r>
    <x v="15"/>
    <n v="79"/>
    <n v="19.829999999999998"/>
    <n v="11.85"/>
    <n v="3.0884125585479882E-2"/>
    <n v="0.16468959968457147"/>
  </r>
  <r>
    <x v="15"/>
    <n v="80"/>
    <n v="17.96"/>
    <n v="11.51"/>
    <n v="2.5333928822254239E-2"/>
    <n v="0.13121708433486584"/>
  </r>
  <r>
    <x v="15"/>
    <n v="81"/>
    <n v="16.71"/>
    <n v="11.26"/>
    <n v="2.1930209531630548E-2"/>
    <n v="0.111120371696772"/>
  </r>
  <r>
    <x v="15"/>
    <n v="82"/>
    <n v="23.41"/>
    <n v="12.43"/>
    <n v="4.3042026323019317E-2"/>
    <n v="0.24075557423780855"/>
  </r>
  <r>
    <x v="15"/>
    <n v="83"/>
    <n v="14.3"/>
    <n v="10.72"/>
    <n v="1.6060607043314419E-2"/>
    <n v="7.7476368376948768E-2"/>
  </r>
  <r>
    <x v="15"/>
    <n v="84"/>
    <n v="21.76"/>
    <n v="12.18"/>
    <n v="3.7188414541309972E-2"/>
    <n v="0.20382970010091997"/>
  </r>
  <r>
    <x v="15"/>
    <n v="85"/>
    <n v="16.829999999999998"/>
    <n v="11.29"/>
    <n v="2.2246316584434742E-2"/>
    <n v="0.11302241140722069"/>
  </r>
  <r>
    <x v="15"/>
    <n v="86"/>
    <n v="21.13"/>
    <n v="12.07"/>
    <n v="3.5066213725938614E-2"/>
    <n v="0.1904621398524356"/>
  </r>
  <r>
    <x v="15"/>
    <n v="87"/>
    <n v="17.04"/>
    <n v="11.33"/>
    <n v="2.2804946736114447E-2"/>
    <n v="0.11627102093407952"/>
  </r>
  <r>
    <x v="15"/>
    <n v="88"/>
    <n v="17.91"/>
    <n v="11.5"/>
    <n v="2.5193067661648902E-2"/>
    <n v="0.13037412514903307"/>
  </r>
  <r>
    <x v="15"/>
    <n v="89"/>
    <n v="27.08"/>
    <n v="12.93"/>
    <n v="5.7595320773086246E-2"/>
    <n v="0.33511837391820232"/>
  </r>
  <r>
    <x v="15"/>
    <n v="90"/>
    <n v="22.67"/>
    <n v="12.32"/>
    <n v="4.0363881417687091E-2"/>
    <n v="0.22377735857965722"/>
  </r>
  <r>
    <x v="15"/>
    <n v="91"/>
    <n v="11.42"/>
    <n v="9.94"/>
    <n v="1.0242880103690698E-2"/>
    <n v="4.581640270380849E-2"/>
  </r>
  <r>
    <x v="15"/>
    <n v="92"/>
    <n v="20.51"/>
    <n v="11.97"/>
    <n v="3.30385669954587E-2"/>
    <n v="0.17796224112103831"/>
  </r>
  <r>
    <x v="15"/>
    <n v="93"/>
    <n v="18.190000000000001"/>
    <n v="11.56"/>
    <n v="2.5986948125211046E-2"/>
    <n v="0.13518410414734788"/>
  </r>
  <r>
    <x v="15"/>
    <n v="94"/>
    <n v="15.45"/>
    <n v="10.99"/>
    <n v="1.874765050983794E-2"/>
    <n v="9.2716505596403528E-2"/>
  </r>
  <r>
    <x v="15"/>
    <n v="95"/>
    <n v="20.84"/>
    <n v="12.03"/>
    <n v="3.4110282059322677E-2"/>
    <n v="0.18465601192814332"/>
  </r>
  <r>
    <x v="15"/>
    <n v="96"/>
    <n v="20.52"/>
    <n v="11.97"/>
    <n v="3.3070791882102893E-2"/>
    <n v="0.17813582047294724"/>
  </r>
  <r>
    <x v="15"/>
    <n v="97"/>
    <n v="18.690000000000001"/>
    <n v="11.65"/>
    <n v="2.7435222338515943E-2"/>
    <n v="0.14382915310966982"/>
  </r>
  <r>
    <x v="15"/>
    <n v="98"/>
    <n v="27.89"/>
    <n v="13.04"/>
    <n v="6.1092361073484834E-2"/>
    <n v="0.35848997477920896"/>
  </r>
  <r>
    <x v="15"/>
    <n v="99"/>
    <n v="11.01"/>
    <n v="9.81"/>
    <n v="9.5206043906855015E-3"/>
    <n v="4.2028708082681152E-2"/>
  </r>
  <r>
    <x v="15"/>
    <n v="100"/>
    <n v="23.35"/>
    <n v="12.42"/>
    <n v="4.2821675014296526E-2"/>
    <n v="0.239330341654903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2B9967-F766-40EE-B03C-2EA3697465AB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20" firstHeaderRow="0" firstDataRow="1" firstDataCol="1"/>
  <pivotFields count="6"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1" showAll="0"/>
    <pivotField numFmtId="2" showAll="0"/>
    <pivotField numFmtId="2" showAll="0"/>
    <pivotField dataField="1" numFmtId="164" showAll="0"/>
    <pivotField dataField="1" numFmtId="164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Arvore" fld="1" subtotal="count" baseField="0" baseItem="8"/>
    <dataField name="Soma de gi_m²" fld="4" baseField="0" baseItem="0" numFmtId="164"/>
    <dataField name="Soma de vi_m³" fld="5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1D3719-CB6E-4F69-8705-DC3D64A6273C}" name="Pinus" displayName="Pinus" ref="A1:F1601" totalsRowShown="0" headerRowDxfId="2">
  <autoFilter ref="A1:F1601" xr:uid="{BE1D3719-CB6E-4F69-8705-DC3D64A6273C}"/>
  <tableColumns count="6">
    <tableColumn id="1" xr3:uid="{43A88C4B-49FD-4045-8DA7-DF887EED3B19}" name="Parcela" dataDxfId="6"/>
    <tableColumn id="2" xr3:uid="{29A64BB0-511C-4DBD-81FC-86FF55109B36}" name="Arvore" dataDxfId="5"/>
    <tableColumn id="3" xr3:uid="{995A95CA-5808-41E9-AD05-6AA998099FD6}" name="d_cm" dataDxfId="4"/>
    <tableColumn id="4" xr3:uid="{EE878F73-C872-4534-8804-264B5787B1A6}" name="h_m" dataDxfId="3"/>
    <tableColumn id="5" xr3:uid="{5CBC0FB1-BE24-4010-A232-F64783220731}" name="gi_m²" dataDxfId="1">
      <calculatedColumnFormula>(PI()*(Pinus[[#This Row],[d_cm]]^2))/40000</calculatedColumnFormula>
    </tableColumn>
    <tableColumn id="6" xr3:uid="{CFAD1F87-8FAD-4CD2-9C6C-36D7479AF7A4}" name="vi_m³" dataDxfId="0">
      <calculatedColumnFormula>Pinus[[#This Row],[gi_m²]]*Pinus[[#This Row],[h_m]]*0.45</calculatedColumnFormula>
    </tableColumn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59057-FA93-454C-A199-480555B3CDE2}">
  <sheetPr>
    <tabColor rgb="FF00B0F0"/>
  </sheetPr>
  <dimension ref="A1:F1601"/>
  <sheetViews>
    <sheetView showGridLines="0" zoomScale="169" zoomScaleNormal="169" workbookViewId="0">
      <selection activeCell="H9" sqref="H9"/>
    </sheetView>
  </sheetViews>
  <sheetFormatPr defaultRowHeight="14" x14ac:dyDescent="0.3"/>
  <cols>
    <col min="1" max="1" width="11.453125" style="37" customWidth="1"/>
    <col min="2" max="2" width="10.36328125" style="37" customWidth="1"/>
    <col min="3" max="3" width="8.7265625" style="37"/>
    <col min="4" max="4" width="9.453125" style="37" customWidth="1"/>
    <col min="5" max="5" width="10.08984375" style="37" customWidth="1"/>
    <col min="6" max="6" width="10.54296875" style="37" customWidth="1"/>
    <col min="7" max="16384" width="8.7265625" style="36"/>
  </cols>
  <sheetData>
    <row r="1" spans="1:6" ht="19.5" customHeight="1" x14ac:dyDescent="0.3">
      <c r="A1" s="54" t="s">
        <v>0</v>
      </c>
      <c r="B1" s="54" t="s">
        <v>49</v>
      </c>
      <c r="C1" s="54" t="s">
        <v>48</v>
      </c>
      <c r="D1" s="54" t="s">
        <v>45</v>
      </c>
      <c r="E1" s="54" t="s">
        <v>46</v>
      </c>
      <c r="F1" s="54" t="s">
        <v>47</v>
      </c>
    </row>
    <row r="2" spans="1:6" x14ac:dyDescent="0.3">
      <c r="A2" s="37">
        <v>1</v>
      </c>
      <c r="B2" s="37">
        <v>1</v>
      </c>
      <c r="C2" s="55">
        <v>17.760000000000002</v>
      </c>
      <c r="D2" s="55">
        <v>13.07</v>
      </c>
      <c r="E2" s="56">
        <f>(PI()*(Pinus[[#This Row],[d_cm]]^2))/40000</f>
        <v>2.4772840374323101E-2</v>
      </c>
      <c r="F2" s="56">
        <f>Pinus[[#This Row],[gi_m²]]*Pinus[[#This Row],[h_m]]*0.45</f>
        <v>0.14570146066158132</v>
      </c>
    </row>
    <row r="3" spans="1:6" x14ac:dyDescent="0.3">
      <c r="A3" s="37">
        <v>1</v>
      </c>
      <c r="B3" s="37">
        <v>2</v>
      </c>
      <c r="C3" s="55">
        <v>19.079999999999998</v>
      </c>
      <c r="D3" s="55">
        <v>13.35</v>
      </c>
      <c r="E3" s="56">
        <f>(PI()*(Pinus[[#This Row],[d_cm]]^2))/40000</f>
        <v>2.8592137395145278E-2</v>
      </c>
      <c r="F3" s="56">
        <f>Pinus[[#This Row],[gi_m²]]*Pinus[[#This Row],[h_m]]*0.45</f>
        <v>0.17176726540133525</v>
      </c>
    </row>
    <row r="4" spans="1:6" x14ac:dyDescent="0.3">
      <c r="A4" s="37">
        <v>1</v>
      </c>
      <c r="B4" s="37">
        <v>3</v>
      </c>
      <c r="C4" s="55">
        <v>26.23</v>
      </c>
      <c r="D4" s="55">
        <v>14.61</v>
      </c>
      <c r="E4" s="56">
        <f>(PI()*(Pinus[[#This Row],[d_cm]]^2))/40000</f>
        <v>5.4036406805375227E-2</v>
      </c>
      <c r="F4" s="56">
        <f>Pinus[[#This Row],[gi_m²]]*Pinus[[#This Row],[h_m]]*0.45</f>
        <v>0.35526235654193944</v>
      </c>
    </row>
    <row r="5" spans="1:6" x14ac:dyDescent="0.3">
      <c r="A5" s="37">
        <v>1</v>
      </c>
      <c r="B5" s="37">
        <v>4</v>
      </c>
      <c r="C5" s="55">
        <v>20.28</v>
      </c>
      <c r="D5" s="55">
        <v>13.59</v>
      </c>
      <c r="E5" s="56">
        <f>(PI()*(Pinus[[#This Row],[d_cm]]^2))/40000</f>
        <v>3.2301730000504111E-2</v>
      </c>
      <c r="F5" s="56">
        <f>Pinus[[#This Row],[gi_m²]]*Pinus[[#This Row],[h_m]]*0.45</f>
        <v>0.19754122981808289</v>
      </c>
    </row>
    <row r="6" spans="1:6" x14ac:dyDescent="0.3">
      <c r="A6" s="37">
        <v>1</v>
      </c>
      <c r="B6" s="37">
        <v>5</v>
      </c>
      <c r="C6" s="55">
        <v>20.52</v>
      </c>
      <c r="D6" s="55">
        <v>13.64</v>
      </c>
      <c r="E6" s="56">
        <f>(PI()*(Pinus[[#This Row],[d_cm]]^2))/40000</f>
        <v>3.3070791882102893E-2</v>
      </c>
      <c r="F6" s="56">
        <f>Pinus[[#This Row],[gi_m²]]*Pinus[[#This Row],[h_m]]*0.45</f>
        <v>0.20298852057234756</v>
      </c>
    </row>
    <row r="7" spans="1:6" x14ac:dyDescent="0.3">
      <c r="A7" s="37">
        <v>1</v>
      </c>
      <c r="B7" s="37">
        <v>6</v>
      </c>
      <c r="C7" s="55">
        <v>26.86</v>
      </c>
      <c r="D7" s="55">
        <v>14.7</v>
      </c>
      <c r="E7" s="56">
        <f>(PI()*(Pinus[[#This Row],[d_cm]]^2))/40000</f>
        <v>5.6663304480545768E-2</v>
      </c>
      <c r="F7" s="56">
        <f>Pinus[[#This Row],[gi_m²]]*Pinus[[#This Row],[h_m]]*0.45</f>
        <v>0.37482775913881028</v>
      </c>
    </row>
    <row r="8" spans="1:6" x14ac:dyDescent="0.3">
      <c r="A8" s="37">
        <v>1</v>
      </c>
      <c r="B8" s="37">
        <v>7</v>
      </c>
      <c r="C8" s="55">
        <v>21.84</v>
      </c>
      <c r="D8" s="55">
        <v>13.89</v>
      </c>
      <c r="E8" s="56">
        <f>(PI()*(Pinus[[#This Row],[d_cm]]^2))/40000</f>
        <v>3.7462361420702993E-2</v>
      </c>
      <c r="F8" s="56">
        <f>Pinus[[#This Row],[gi_m²]]*Pinus[[#This Row],[h_m]]*0.45</f>
        <v>0.23415849006010409</v>
      </c>
    </row>
    <row r="9" spans="1:6" x14ac:dyDescent="0.3">
      <c r="A9" s="37">
        <v>1</v>
      </c>
      <c r="B9" s="37">
        <v>8</v>
      </c>
      <c r="C9" s="55">
        <v>14.94</v>
      </c>
      <c r="D9" s="55">
        <v>12.39</v>
      </c>
      <c r="E9" s="56">
        <f>(PI()*(Pinus[[#This Row],[d_cm]]^2))/40000</f>
        <v>1.7530369750369867E-2</v>
      </c>
      <c r="F9" s="56">
        <f>Pinus[[#This Row],[gi_m²]]*Pinus[[#This Row],[h_m]]*0.45</f>
        <v>9.7740576543187213E-2</v>
      </c>
    </row>
    <row r="10" spans="1:6" x14ac:dyDescent="0.3">
      <c r="A10" s="37">
        <v>1</v>
      </c>
      <c r="B10" s="37">
        <v>9</v>
      </c>
      <c r="C10" s="55">
        <v>17.25</v>
      </c>
      <c r="D10" s="55">
        <v>12.95</v>
      </c>
      <c r="E10" s="56">
        <f>(PI()*(Pinus[[#This Row],[d_cm]]^2))/40000</f>
        <v>2.3370504099595318E-2</v>
      </c>
      <c r="F10" s="56">
        <f>Pinus[[#This Row],[gi_m²]]*Pinus[[#This Row],[h_m]]*0.45</f>
        <v>0.13619161264039173</v>
      </c>
    </row>
    <row r="11" spans="1:6" x14ac:dyDescent="0.3">
      <c r="A11" s="37">
        <v>1</v>
      </c>
      <c r="B11" s="37">
        <v>10</v>
      </c>
      <c r="C11" s="55">
        <v>18.22</v>
      </c>
      <c r="D11" s="55">
        <v>13.17</v>
      </c>
      <c r="E11" s="56">
        <f>(PI()*(Pinus[[#This Row],[d_cm]]^2))/40000</f>
        <v>2.6072737166598945E-2</v>
      </c>
      <c r="F11" s="56">
        <f>Pinus[[#This Row],[gi_m²]]*Pinus[[#This Row],[h_m]]*0.45</f>
        <v>0.15452007681784866</v>
      </c>
    </row>
    <row r="12" spans="1:6" x14ac:dyDescent="0.3">
      <c r="A12" s="37">
        <v>1</v>
      </c>
      <c r="B12" s="37">
        <v>11</v>
      </c>
      <c r="C12" s="55">
        <v>24.9</v>
      </c>
      <c r="D12" s="55">
        <v>14.4</v>
      </c>
      <c r="E12" s="56">
        <f>(PI()*(Pinus[[#This Row],[d_cm]]^2))/40000</f>
        <v>4.8695471528805184E-2</v>
      </c>
      <c r="F12" s="56">
        <f>Pinus[[#This Row],[gi_m²]]*Pinus[[#This Row],[h_m]]*0.45</f>
        <v>0.31554665550665761</v>
      </c>
    </row>
    <row r="13" spans="1:6" x14ac:dyDescent="0.3">
      <c r="A13" s="37">
        <v>1</v>
      </c>
      <c r="B13" s="37">
        <v>12</v>
      </c>
      <c r="C13" s="55">
        <v>21.44</v>
      </c>
      <c r="D13" s="55">
        <v>13.81</v>
      </c>
      <c r="E13" s="56">
        <f>(PI()*(Pinus[[#This Row],[d_cm]]^2))/40000</f>
        <v>3.6102680120229338E-2</v>
      </c>
      <c r="F13" s="56">
        <f>Pinus[[#This Row],[gi_m²]]*Pinus[[#This Row],[h_m]]*0.45</f>
        <v>0.22436010560716524</v>
      </c>
    </row>
    <row r="14" spans="1:6" x14ac:dyDescent="0.3">
      <c r="A14" s="37">
        <v>1</v>
      </c>
      <c r="B14" s="37">
        <v>13</v>
      </c>
      <c r="C14" s="55">
        <v>21.6</v>
      </c>
      <c r="D14" s="55">
        <v>13.84</v>
      </c>
      <c r="E14" s="56">
        <f>(PI()*(Pinus[[#This Row],[d_cm]]^2))/40000</f>
        <v>3.6643536711471351E-2</v>
      </c>
      <c r="F14" s="56">
        <f>Pinus[[#This Row],[gi_m²]]*Pinus[[#This Row],[h_m]]*0.45</f>
        <v>0.2282159466390436</v>
      </c>
    </row>
    <row r="15" spans="1:6" x14ac:dyDescent="0.3">
      <c r="A15" s="37">
        <v>1</v>
      </c>
      <c r="B15" s="37">
        <v>14</v>
      </c>
      <c r="C15" s="55">
        <v>20.440000000000001</v>
      </c>
      <c r="D15" s="55">
        <v>13.62</v>
      </c>
      <c r="E15" s="56">
        <f>(PI()*(Pinus[[#This Row],[d_cm]]^2))/40000</f>
        <v>3.2813432611920816E-2</v>
      </c>
      <c r="F15" s="56">
        <f>Pinus[[#This Row],[gi_m²]]*Pinus[[#This Row],[h_m]]*0.45</f>
        <v>0.20111352847846267</v>
      </c>
    </row>
    <row r="16" spans="1:6" x14ac:dyDescent="0.3">
      <c r="A16" s="37">
        <v>1</v>
      </c>
      <c r="B16" s="37">
        <v>15</v>
      </c>
      <c r="C16" s="55">
        <v>17.78</v>
      </c>
      <c r="D16" s="55">
        <v>13.07</v>
      </c>
      <c r="E16" s="56">
        <f>(PI()*(Pinus[[#This Row],[d_cm]]^2))/40000</f>
        <v>2.4828666475777392E-2</v>
      </c>
      <c r="F16" s="56">
        <f>Pinus[[#This Row],[gi_m²]]*Pinus[[#This Row],[h_m]]*0.45</f>
        <v>0.14602980187728473</v>
      </c>
    </row>
    <row r="17" spans="1:6" x14ac:dyDescent="0.3">
      <c r="A17" s="37">
        <v>1</v>
      </c>
      <c r="B17" s="37">
        <v>16</v>
      </c>
      <c r="C17" s="55">
        <v>27.15</v>
      </c>
      <c r="D17" s="55">
        <v>14.74</v>
      </c>
      <c r="E17" s="56">
        <f>(PI()*(Pinus[[#This Row],[d_cm]]^2))/40000</f>
        <v>5.7893465769893557E-2</v>
      </c>
      <c r="F17" s="56">
        <f>Pinus[[#This Row],[gi_m²]]*Pinus[[#This Row],[h_m]]*0.45</f>
        <v>0.38400735845170397</v>
      </c>
    </row>
    <row r="18" spans="1:6" x14ac:dyDescent="0.3">
      <c r="A18" s="37">
        <v>1</v>
      </c>
      <c r="B18" s="37">
        <v>17</v>
      </c>
      <c r="C18" s="55">
        <v>21.99</v>
      </c>
      <c r="D18" s="55">
        <v>13.91</v>
      </c>
      <c r="E18" s="56">
        <f>(PI()*(Pinus[[#This Row],[d_cm]]^2))/40000</f>
        <v>3.7978721443228634E-2</v>
      </c>
      <c r="F18" s="56">
        <f>Pinus[[#This Row],[gi_m²]]*Pinus[[#This Row],[h_m]]*0.45</f>
        <v>0.23772780687388964</v>
      </c>
    </row>
    <row r="19" spans="1:6" x14ac:dyDescent="0.3">
      <c r="A19" s="37">
        <v>1</v>
      </c>
      <c r="B19" s="37">
        <v>18</v>
      </c>
      <c r="C19" s="55">
        <v>12.13</v>
      </c>
      <c r="D19" s="55">
        <v>11.56</v>
      </c>
      <c r="E19" s="56">
        <f>(PI()*(Pinus[[#This Row],[d_cm]]^2))/40000</f>
        <v>1.1556105102799403E-2</v>
      </c>
      <c r="F19" s="56">
        <f>Pinus[[#This Row],[gi_m²]]*Pinus[[#This Row],[h_m]]*0.45</f>
        <v>6.0114858744762495E-2</v>
      </c>
    </row>
    <row r="20" spans="1:6" x14ac:dyDescent="0.3">
      <c r="A20" s="37">
        <v>1</v>
      </c>
      <c r="B20" s="37">
        <v>19</v>
      </c>
      <c r="C20" s="55">
        <v>22.81</v>
      </c>
      <c r="D20" s="55">
        <v>14.06</v>
      </c>
      <c r="E20" s="56">
        <f>(PI()*(Pinus[[#This Row],[d_cm]]^2))/40000</f>
        <v>4.0863960136285502E-2</v>
      </c>
      <c r="F20" s="56">
        <f>Pinus[[#This Row],[gi_m²]]*Pinus[[#This Row],[h_m]]*0.45</f>
        <v>0.25854627578227835</v>
      </c>
    </row>
    <row r="21" spans="1:6" x14ac:dyDescent="0.3">
      <c r="A21" s="37">
        <v>1</v>
      </c>
      <c r="B21" s="37">
        <v>20</v>
      </c>
      <c r="C21" s="55">
        <v>18.11</v>
      </c>
      <c r="D21" s="55">
        <v>13.15</v>
      </c>
      <c r="E21" s="56">
        <f>(PI()*(Pinus[[#This Row],[d_cm]]^2))/40000</f>
        <v>2.5758868498560423E-2</v>
      </c>
      <c r="F21" s="56">
        <f>Pinus[[#This Row],[gi_m²]]*Pinus[[#This Row],[h_m]]*0.45</f>
        <v>0.15242810434023132</v>
      </c>
    </row>
    <row r="22" spans="1:6" x14ac:dyDescent="0.3">
      <c r="A22" s="37">
        <v>1</v>
      </c>
      <c r="B22" s="37">
        <v>21</v>
      </c>
      <c r="C22" s="55">
        <v>15.73</v>
      </c>
      <c r="D22" s="55">
        <v>12.59</v>
      </c>
      <c r="E22" s="56">
        <f>(PI()*(Pinus[[#This Row],[d_cm]]^2))/40000</f>
        <v>1.9433334522410452E-2</v>
      </c>
      <c r="F22" s="56">
        <f>Pinus[[#This Row],[gi_m²]]*Pinus[[#This Row],[h_m]]*0.45</f>
        <v>0.11009955673671641</v>
      </c>
    </row>
    <row r="23" spans="1:6" x14ac:dyDescent="0.3">
      <c r="A23" s="37">
        <v>1</v>
      </c>
      <c r="B23" s="37">
        <v>22</v>
      </c>
      <c r="C23" s="55">
        <v>19.13</v>
      </c>
      <c r="D23" s="55">
        <v>13.36</v>
      </c>
      <c r="E23" s="56">
        <f>(PI()*(Pinus[[#This Row],[d_cm]]^2))/40000</f>
        <v>2.874218771426236E-2</v>
      </c>
      <c r="F23" s="56">
        <f>Pinus[[#This Row],[gi_m²]]*Pinus[[#This Row],[h_m]]*0.45</f>
        <v>0.1727980325381453</v>
      </c>
    </row>
    <row r="24" spans="1:6" x14ac:dyDescent="0.3">
      <c r="A24" s="37">
        <v>1</v>
      </c>
      <c r="B24" s="37">
        <v>23</v>
      </c>
      <c r="C24" s="55">
        <v>15.9</v>
      </c>
      <c r="D24" s="55">
        <v>12.63</v>
      </c>
      <c r="E24" s="56">
        <f>(PI()*(Pinus[[#This Row],[d_cm]]^2))/40000</f>
        <v>1.9855650968850891E-2</v>
      </c>
      <c r="F24" s="56">
        <f>Pinus[[#This Row],[gi_m²]]*Pinus[[#This Row],[h_m]]*0.45</f>
        <v>0.11284959228146405</v>
      </c>
    </row>
    <row r="25" spans="1:6" x14ac:dyDescent="0.3">
      <c r="A25" s="37">
        <v>1</v>
      </c>
      <c r="B25" s="37">
        <v>24</v>
      </c>
      <c r="C25" s="55">
        <v>17.079999999999998</v>
      </c>
      <c r="D25" s="55">
        <v>12.92</v>
      </c>
      <c r="E25" s="56">
        <f>(PI()*(Pinus[[#This Row],[d_cm]]^2))/40000</f>
        <v>2.2912137877454934E-2</v>
      </c>
      <c r="F25" s="56">
        <f>Pinus[[#This Row],[gi_m²]]*Pinus[[#This Row],[h_m]]*0.45</f>
        <v>0.13321116961952301</v>
      </c>
    </row>
    <row r="26" spans="1:6" x14ac:dyDescent="0.3">
      <c r="A26" s="37">
        <v>1</v>
      </c>
      <c r="B26" s="37">
        <v>25</v>
      </c>
      <c r="C26" s="55">
        <v>17.5</v>
      </c>
      <c r="D26" s="55">
        <v>13.01</v>
      </c>
      <c r="E26" s="56">
        <f>(PI()*(Pinus[[#This Row],[d_cm]]^2))/40000</f>
        <v>2.4052818754046853E-2</v>
      </c>
      <c r="F26" s="56">
        <f>Pinus[[#This Row],[gi_m²]]*Pinus[[#This Row],[h_m]]*0.45</f>
        <v>0.14081722739556732</v>
      </c>
    </row>
    <row r="27" spans="1:6" x14ac:dyDescent="0.3">
      <c r="A27" s="37">
        <v>1</v>
      </c>
      <c r="B27" s="37">
        <v>26</v>
      </c>
      <c r="C27" s="55">
        <v>13.25</v>
      </c>
      <c r="D27" s="55">
        <v>11.91</v>
      </c>
      <c r="E27" s="56">
        <f>(PI()*(Pinus[[#This Row],[d_cm]]^2))/40000</f>
        <v>1.3788646506146453E-2</v>
      </c>
      <c r="F27" s="56">
        <f>Pinus[[#This Row],[gi_m²]]*Pinus[[#This Row],[h_m]]*0.45</f>
        <v>7.3900250949691909E-2</v>
      </c>
    </row>
    <row r="28" spans="1:6" x14ac:dyDescent="0.3">
      <c r="A28" s="37">
        <v>1</v>
      </c>
      <c r="B28" s="37">
        <v>27</v>
      </c>
      <c r="C28" s="55">
        <v>23.35</v>
      </c>
      <c r="D28" s="55">
        <v>14.15</v>
      </c>
      <c r="E28" s="56">
        <f>(PI()*(Pinus[[#This Row],[d_cm]]^2))/40000</f>
        <v>4.2821675014296526E-2</v>
      </c>
      <c r="F28" s="56">
        <f>Pinus[[#This Row],[gi_m²]]*Pinus[[#This Row],[h_m]]*0.45</f>
        <v>0.27266701565353313</v>
      </c>
    </row>
    <row r="29" spans="1:6" x14ac:dyDescent="0.3">
      <c r="A29" s="37">
        <v>1</v>
      </c>
      <c r="B29" s="37">
        <v>28</v>
      </c>
      <c r="C29" s="55">
        <v>20.61</v>
      </c>
      <c r="D29" s="55">
        <v>13.66</v>
      </c>
      <c r="E29" s="56">
        <f>(PI()*(Pinus[[#This Row],[d_cm]]^2))/40000</f>
        <v>3.336152272024772E-2</v>
      </c>
      <c r="F29" s="56">
        <f>Pinus[[#This Row],[gi_m²]]*Pinus[[#This Row],[h_m]]*0.45</f>
        <v>0.20507328016136273</v>
      </c>
    </row>
    <row r="30" spans="1:6" x14ac:dyDescent="0.3">
      <c r="A30" s="37">
        <v>1</v>
      </c>
      <c r="B30" s="37">
        <v>29</v>
      </c>
      <c r="C30" s="55">
        <v>15.45</v>
      </c>
      <c r="D30" s="55">
        <v>12.52</v>
      </c>
      <c r="E30" s="56">
        <f>(PI()*(Pinus[[#This Row],[d_cm]]^2))/40000</f>
        <v>1.874765050983794E-2</v>
      </c>
      <c r="F30" s="56">
        <f>Pinus[[#This Row],[gi_m²]]*Pinus[[#This Row],[h_m]]*0.45</f>
        <v>0.10562426297242695</v>
      </c>
    </row>
    <row r="31" spans="1:6" x14ac:dyDescent="0.3">
      <c r="A31" s="37">
        <v>1</v>
      </c>
      <c r="B31" s="37">
        <v>30</v>
      </c>
      <c r="C31" s="55">
        <v>25.02</v>
      </c>
      <c r="D31" s="55">
        <v>14.42</v>
      </c>
      <c r="E31" s="56">
        <f>(PI()*(Pinus[[#This Row],[d_cm]]^2))/40000</f>
        <v>4.91659564446068E-2</v>
      </c>
      <c r="F31" s="56">
        <f>Pinus[[#This Row],[gi_m²]]*Pinus[[#This Row],[h_m]]*0.45</f>
        <v>0.31903789136905353</v>
      </c>
    </row>
    <row r="32" spans="1:6" x14ac:dyDescent="0.3">
      <c r="A32" s="37">
        <v>1</v>
      </c>
      <c r="B32" s="37">
        <v>31</v>
      </c>
      <c r="C32" s="55">
        <v>21.71</v>
      </c>
      <c r="D32" s="55">
        <v>13.86</v>
      </c>
      <c r="E32" s="56">
        <f>(PI()*(Pinus[[#This Row],[d_cm]]^2))/40000</f>
        <v>3.701770825049553E-2</v>
      </c>
      <c r="F32" s="56">
        <f>Pinus[[#This Row],[gi_m²]]*Pinus[[#This Row],[h_m]]*0.45</f>
        <v>0.23087944635834065</v>
      </c>
    </row>
    <row r="33" spans="1:6" x14ac:dyDescent="0.3">
      <c r="A33" s="37">
        <v>1</v>
      </c>
      <c r="B33" s="37">
        <v>32</v>
      </c>
      <c r="C33" s="55">
        <v>18.82</v>
      </c>
      <c r="D33" s="55">
        <v>13.3</v>
      </c>
      <c r="E33" s="56">
        <f>(PI()*(Pinus[[#This Row],[d_cm]]^2))/40000</f>
        <v>2.7818206044933437E-2</v>
      </c>
      <c r="F33" s="56">
        <f>Pinus[[#This Row],[gi_m²]]*Pinus[[#This Row],[h_m]]*0.45</f>
        <v>0.16649196317892664</v>
      </c>
    </row>
    <row r="34" spans="1:6" x14ac:dyDescent="0.3">
      <c r="A34" s="37">
        <v>1</v>
      </c>
      <c r="B34" s="37">
        <v>33</v>
      </c>
      <c r="C34" s="55">
        <v>23.58</v>
      </c>
      <c r="D34" s="55">
        <v>14.19</v>
      </c>
      <c r="E34" s="56">
        <f>(PI()*(Pinus[[#This Row],[d_cm]]^2))/40000</f>
        <v>4.3669425937886093E-2</v>
      </c>
      <c r="F34" s="56">
        <f>Pinus[[#This Row],[gi_m²]]*Pinus[[#This Row],[h_m]]*0.45</f>
        <v>0.27885111932637169</v>
      </c>
    </row>
    <row r="35" spans="1:6" x14ac:dyDescent="0.3">
      <c r="A35" s="37">
        <v>1</v>
      </c>
      <c r="B35" s="37">
        <v>34</v>
      </c>
      <c r="C35" s="55">
        <v>23.51</v>
      </c>
      <c r="D35" s="55">
        <v>14.18</v>
      </c>
      <c r="E35" s="56">
        <f>(PI()*(Pinus[[#This Row],[d_cm]]^2))/40000</f>
        <v>4.34105351412854E-2</v>
      </c>
      <c r="F35" s="56">
        <f>Pinus[[#This Row],[gi_m²]]*Pinus[[#This Row],[h_m]]*0.45</f>
        <v>0.27700262473654214</v>
      </c>
    </row>
    <row r="36" spans="1:6" x14ac:dyDescent="0.3">
      <c r="A36" s="37">
        <v>1</v>
      </c>
      <c r="B36" s="37">
        <v>35</v>
      </c>
      <c r="C36" s="55">
        <v>23.29</v>
      </c>
      <c r="D36" s="55">
        <v>14.14</v>
      </c>
      <c r="E36" s="56">
        <f>(PI()*(Pinus[[#This Row],[d_cm]]^2))/40000</f>
        <v>4.2601889192251378E-2</v>
      </c>
      <c r="F36" s="56">
        <f>Pinus[[#This Row],[gi_m²]]*Pinus[[#This Row],[h_m]]*0.45</f>
        <v>0.27107582093029553</v>
      </c>
    </row>
    <row r="37" spans="1:6" x14ac:dyDescent="0.3">
      <c r="A37" s="37">
        <v>1</v>
      </c>
      <c r="B37" s="37">
        <v>36</v>
      </c>
      <c r="C37" s="55">
        <v>22.75</v>
      </c>
      <c r="D37" s="55">
        <v>14.05</v>
      </c>
      <c r="E37" s="56">
        <f>(PI()*(Pinus[[#This Row],[d_cm]]^2))/40000</f>
        <v>4.0649263694339181E-2</v>
      </c>
      <c r="F37" s="56">
        <f>Pinus[[#This Row],[gi_m²]]*Pinus[[#This Row],[h_m]]*0.45</f>
        <v>0.25700496970745945</v>
      </c>
    </row>
    <row r="38" spans="1:6" x14ac:dyDescent="0.3">
      <c r="A38" s="37">
        <v>1</v>
      </c>
      <c r="B38" s="37">
        <v>37</v>
      </c>
      <c r="C38" s="55">
        <v>22.22</v>
      </c>
      <c r="D38" s="55">
        <v>13.95</v>
      </c>
      <c r="E38" s="56">
        <f>(PI()*(Pinus[[#This Row],[d_cm]]^2))/40000</f>
        <v>3.8777337857716067E-2</v>
      </c>
      <c r="F38" s="56">
        <f>Pinus[[#This Row],[gi_m²]]*Pinus[[#This Row],[h_m]]*0.45</f>
        <v>0.24342473840181258</v>
      </c>
    </row>
    <row r="39" spans="1:6" x14ac:dyDescent="0.3">
      <c r="A39" s="37">
        <v>1</v>
      </c>
      <c r="B39" s="37">
        <v>38</v>
      </c>
      <c r="C39" s="55">
        <v>19.75</v>
      </c>
      <c r="D39" s="55">
        <v>13.49</v>
      </c>
      <c r="E39" s="56">
        <f>(PI()*(Pinus[[#This Row],[d_cm]]^2))/40000</f>
        <v>3.0635437111021718E-2</v>
      </c>
      <c r="F39" s="56">
        <f>Pinus[[#This Row],[gi_m²]]*Pinus[[#This Row],[h_m]]*0.45</f>
        <v>0.18597242098245734</v>
      </c>
    </row>
    <row r="40" spans="1:6" x14ac:dyDescent="0.3">
      <c r="A40" s="37">
        <v>1</v>
      </c>
      <c r="B40" s="37">
        <v>39</v>
      </c>
      <c r="C40" s="55">
        <v>18.78</v>
      </c>
      <c r="D40" s="55">
        <v>13.29</v>
      </c>
      <c r="E40" s="56">
        <f>(PI()*(Pinus[[#This Row],[d_cm]]^2))/40000</f>
        <v>2.7700082161158462E-2</v>
      </c>
      <c r="F40" s="56">
        <f>Pinus[[#This Row],[gi_m²]]*Pinus[[#This Row],[h_m]]*0.45</f>
        <v>0.1656603413648082</v>
      </c>
    </row>
    <row r="41" spans="1:6" x14ac:dyDescent="0.3">
      <c r="A41" s="37">
        <v>1</v>
      </c>
      <c r="B41" s="37">
        <v>40</v>
      </c>
      <c r="C41" s="55">
        <v>18.48</v>
      </c>
      <c r="D41" s="55">
        <v>13.22</v>
      </c>
      <c r="E41" s="56">
        <f>(PI()*(Pinus[[#This Row],[d_cm]]^2))/40000</f>
        <v>2.6822164094112793E-2</v>
      </c>
      <c r="F41" s="56">
        <f>Pinus[[#This Row],[gi_m²]]*Pinus[[#This Row],[h_m]]*0.45</f>
        <v>0.15956505419587702</v>
      </c>
    </row>
    <row r="42" spans="1:6" x14ac:dyDescent="0.3">
      <c r="A42" s="37">
        <v>1</v>
      </c>
      <c r="B42" s="37">
        <v>41</v>
      </c>
      <c r="C42" s="55">
        <v>17.22</v>
      </c>
      <c r="D42" s="55">
        <v>12.95</v>
      </c>
      <c r="E42" s="56">
        <f>(PI()*(Pinus[[#This Row],[d_cm]]^2))/40000</f>
        <v>2.3289286075518386E-2</v>
      </c>
      <c r="F42" s="56">
        <f>Pinus[[#This Row],[gi_m²]]*Pinus[[#This Row],[h_m]]*0.45</f>
        <v>0.13571831460508338</v>
      </c>
    </row>
    <row r="43" spans="1:6" x14ac:dyDescent="0.3">
      <c r="A43" s="37">
        <v>1</v>
      </c>
      <c r="B43" s="37">
        <v>42</v>
      </c>
      <c r="C43" s="55">
        <v>19.170000000000002</v>
      </c>
      <c r="D43" s="55">
        <v>13.37</v>
      </c>
      <c r="E43" s="56">
        <f>(PI()*(Pinus[[#This Row],[d_cm]]^2))/40000</f>
        <v>2.8862510712894859E-2</v>
      </c>
      <c r="F43" s="56">
        <f>Pinus[[#This Row],[gi_m²]]*Pinus[[#This Row],[h_m]]*0.45</f>
        <v>0.17365129570413193</v>
      </c>
    </row>
    <row r="44" spans="1:6" x14ac:dyDescent="0.3">
      <c r="A44" s="37">
        <v>1</v>
      </c>
      <c r="B44" s="37">
        <v>43</v>
      </c>
      <c r="C44" s="55">
        <v>14.94</v>
      </c>
      <c r="D44" s="55">
        <v>12.39</v>
      </c>
      <c r="E44" s="56">
        <f>(PI()*(Pinus[[#This Row],[d_cm]]^2))/40000</f>
        <v>1.7530369750369867E-2</v>
      </c>
      <c r="F44" s="56">
        <f>Pinus[[#This Row],[gi_m²]]*Pinus[[#This Row],[h_m]]*0.45</f>
        <v>9.7740576543187213E-2</v>
      </c>
    </row>
    <row r="45" spans="1:6" x14ac:dyDescent="0.3">
      <c r="A45" s="37">
        <v>1</v>
      </c>
      <c r="B45" s="37">
        <v>44</v>
      </c>
      <c r="C45" s="55">
        <v>28.68</v>
      </c>
      <c r="D45" s="55">
        <v>14.96</v>
      </c>
      <c r="E45" s="56">
        <f>(PI()*(Pinus[[#This Row],[d_cm]]^2))/40000</f>
        <v>6.4602329027652922E-2</v>
      </c>
      <c r="F45" s="56">
        <f>Pinus[[#This Row],[gi_m²]]*Pinus[[#This Row],[h_m]]*0.45</f>
        <v>0.43490287901415947</v>
      </c>
    </row>
    <row r="46" spans="1:6" x14ac:dyDescent="0.3">
      <c r="A46" s="37">
        <v>1</v>
      </c>
      <c r="B46" s="37">
        <v>45</v>
      </c>
      <c r="C46" s="55">
        <v>24.83</v>
      </c>
      <c r="D46" s="55">
        <v>14.39</v>
      </c>
      <c r="E46" s="56">
        <f>(PI()*(Pinus[[#This Row],[d_cm]]^2))/40000</f>
        <v>4.8422066574144898E-2</v>
      </c>
      <c r="F46" s="56">
        <f>Pinus[[#This Row],[gi_m²]]*Pinus[[#This Row],[h_m]]*0.45</f>
        <v>0.31355709210087529</v>
      </c>
    </row>
    <row r="47" spans="1:6" x14ac:dyDescent="0.3">
      <c r="A47" s="37">
        <v>1</v>
      </c>
      <c r="B47" s="37">
        <v>46</v>
      </c>
      <c r="C47" s="55">
        <v>15.51</v>
      </c>
      <c r="D47" s="55">
        <v>12.53</v>
      </c>
      <c r="E47" s="56">
        <f>(PI()*(Pinus[[#This Row],[d_cm]]^2))/40000</f>
        <v>1.8893546072670651E-2</v>
      </c>
      <c r="F47" s="56">
        <f>Pinus[[#This Row],[gi_m²]]*Pinus[[#This Row],[h_m]]*0.45</f>
        <v>0.10653125953075347</v>
      </c>
    </row>
    <row r="48" spans="1:6" x14ac:dyDescent="0.3">
      <c r="A48" s="37">
        <v>1</v>
      </c>
      <c r="B48" s="37">
        <v>47</v>
      </c>
      <c r="C48" s="55">
        <v>18.39</v>
      </c>
      <c r="D48" s="55">
        <v>13.21</v>
      </c>
      <c r="E48" s="56">
        <f>(PI()*(Pinus[[#This Row],[d_cm]]^2))/40000</f>
        <v>2.6561545421552622E-2</v>
      </c>
      <c r="F48" s="56">
        <f>Pinus[[#This Row],[gi_m²]]*Pinus[[#This Row],[h_m]]*0.45</f>
        <v>0.15789510675841956</v>
      </c>
    </row>
    <row r="49" spans="1:6" x14ac:dyDescent="0.3">
      <c r="A49" s="37">
        <v>1</v>
      </c>
      <c r="B49" s="37">
        <v>48</v>
      </c>
      <c r="C49" s="55">
        <v>18.13</v>
      </c>
      <c r="D49" s="55">
        <v>13.15</v>
      </c>
      <c r="E49" s="56">
        <f>(PI()*(Pinus[[#This Row],[d_cm]]^2))/40000</f>
        <v>2.5815794157443468E-2</v>
      </c>
      <c r="F49" s="56">
        <f>Pinus[[#This Row],[gi_m²]]*Pinus[[#This Row],[h_m]]*0.45</f>
        <v>0.15276496192667174</v>
      </c>
    </row>
    <row r="50" spans="1:6" x14ac:dyDescent="0.3">
      <c r="A50" s="37">
        <v>1</v>
      </c>
      <c r="B50" s="37">
        <v>49</v>
      </c>
      <c r="C50" s="55">
        <v>23.12</v>
      </c>
      <c r="D50" s="55">
        <v>14.11</v>
      </c>
      <c r="E50" s="56">
        <f>(PI()*(Pinus[[#This Row],[d_cm]]^2))/40000</f>
        <v>4.1982233603275701E-2</v>
      </c>
      <c r="F50" s="56">
        <f>Pinus[[#This Row],[gi_m²]]*Pinus[[#This Row],[h_m]]*0.45</f>
        <v>0.26656619226399908</v>
      </c>
    </row>
    <row r="51" spans="1:6" x14ac:dyDescent="0.3">
      <c r="A51" s="37">
        <v>1</v>
      </c>
      <c r="B51" s="37">
        <v>50</v>
      </c>
      <c r="C51" s="55">
        <v>19.670000000000002</v>
      </c>
      <c r="D51" s="55">
        <v>13.47</v>
      </c>
      <c r="E51" s="56">
        <f>(PI()*(Pinus[[#This Row],[d_cm]]^2))/40000</f>
        <v>3.0387753946212705E-2</v>
      </c>
      <c r="F51" s="56">
        <f>Pinus[[#This Row],[gi_m²]]*Pinus[[#This Row],[h_m]]*0.45</f>
        <v>0.18419537054496832</v>
      </c>
    </row>
    <row r="52" spans="1:6" x14ac:dyDescent="0.3">
      <c r="A52" s="37">
        <v>1</v>
      </c>
      <c r="B52" s="37">
        <v>51</v>
      </c>
      <c r="C52" s="55">
        <v>21.01</v>
      </c>
      <c r="D52" s="55">
        <v>13.73</v>
      </c>
      <c r="E52" s="56">
        <f>(PI()*(Pinus[[#This Row],[d_cm]]^2))/40000</f>
        <v>3.4669053582671805E-2</v>
      </c>
      <c r="F52" s="56">
        <f>Pinus[[#This Row],[gi_m²]]*Pinus[[#This Row],[h_m]]*0.45</f>
        <v>0.21420274756053775</v>
      </c>
    </row>
    <row r="53" spans="1:6" x14ac:dyDescent="0.3">
      <c r="A53" s="37">
        <v>1</v>
      </c>
      <c r="B53" s="37">
        <v>52</v>
      </c>
      <c r="C53" s="55">
        <v>19.89</v>
      </c>
      <c r="D53" s="55">
        <v>13.51</v>
      </c>
      <c r="E53" s="56">
        <f>(PI()*(Pinus[[#This Row],[d_cm]]^2))/40000</f>
        <v>3.1071301675780764E-2</v>
      </c>
      <c r="F53" s="56">
        <f>Pinus[[#This Row],[gi_m²]]*Pinus[[#This Row],[h_m]]*0.45</f>
        <v>0.18889797853790916</v>
      </c>
    </row>
    <row r="54" spans="1:6" x14ac:dyDescent="0.3">
      <c r="A54" s="37">
        <v>1</v>
      </c>
      <c r="B54" s="37">
        <v>53</v>
      </c>
      <c r="C54" s="55">
        <v>19.829999999999998</v>
      </c>
      <c r="D54" s="55">
        <v>13.5</v>
      </c>
      <c r="E54" s="56">
        <f>(PI()*(Pinus[[#This Row],[d_cm]]^2))/40000</f>
        <v>3.0884125585479882E-2</v>
      </c>
      <c r="F54" s="56">
        <f>Pinus[[#This Row],[gi_m²]]*Pinus[[#This Row],[h_m]]*0.45</f>
        <v>0.18762106293179029</v>
      </c>
    </row>
    <row r="55" spans="1:6" x14ac:dyDescent="0.3">
      <c r="A55" s="37">
        <v>1</v>
      </c>
      <c r="B55" s="37">
        <v>54</v>
      </c>
      <c r="C55" s="55">
        <v>25.47</v>
      </c>
      <c r="D55" s="55">
        <v>14.49</v>
      </c>
      <c r="E55" s="56">
        <f>(PI()*(Pinus[[#This Row],[d_cm]]^2))/40000</f>
        <v>5.0950420341753969E-2</v>
      </c>
      <c r="F55" s="56">
        <f>Pinus[[#This Row],[gi_m²]]*Pinus[[#This Row],[h_m]]*0.45</f>
        <v>0.33222221583840678</v>
      </c>
    </row>
    <row r="56" spans="1:6" x14ac:dyDescent="0.3">
      <c r="A56" s="37">
        <v>1</v>
      </c>
      <c r="B56" s="37">
        <v>55</v>
      </c>
      <c r="C56" s="55">
        <v>19.100000000000001</v>
      </c>
      <c r="D56" s="55">
        <v>13.35</v>
      </c>
      <c r="E56" s="56">
        <f>(PI()*(Pinus[[#This Row],[d_cm]]^2))/40000</f>
        <v>2.8652110398902319E-2</v>
      </c>
      <c r="F56" s="56">
        <f>Pinus[[#This Row],[gi_m²]]*Pinus[[#This Row],[h_m]]*0.45</f>
        <v>0.17212755322140569</v>
      </c>
    </row>
    <row r="57" spans="1:6" x14ac:dyDescent="0.3">
      <c r="A57" s="37">
        <v>1</v>
      </c>
      <c r="B57" s="37">
        <v>56</v>
      </c>
      <c r="C57" s="55">
        <v>26.07</v>
      </c>
      <c r="D57" s="55">
        <v>14.58</v>
      </c>
      <c r="E57" s="56">
        <f>(PI()*(Pinus[[#This Row],[d_cm]]^2))/40000</f>
        <v>5.3379185622244245E-2</v>
      </c>
      <c r="F57" s="56">
        <f>Pinus[[#This Row],[gi_m²]]*Pinus[[#This Row],[h_m]]*0.45</f>
        <v>0.35022083686754452</v>
      </c>
    </row>
    <row r="58" spans="1:6" x14ac:dyDescent="0.3">
      <c r="A58" s="37">
        <v>1</v>
      </c>
      <c r="B58" s="37">
        <v>57</v>
      </c>
      <c r="C58" s="55">
        <v>13.8</v>
      </c>
      <c r="D58" s="55">
        <v>12.07</v>
      </c>
      <c r="E58" s="56">
        <f>(PI()*(Pinus[[#This Row],[d_cm]]^2))/40000</f>
        <v>1.4957122623741007E-2</v>
      </c>
      <c r="F58" s="56">
        <f>Pinus[[#This Row],[gi_m²]]*Pinus[[#This Row],[h_m]]*0.45</f>
        <v>8.1239611530849271E-2</v>
      </c>
    </row>
    <row r="59" spans="1:6" x14ac:dyDescent="0.3">
      <c r="A59" s="37">
        <v>1</v>
      </c>
      <c r="B59" s="37">
        <v>58</v>
      </c>
      <c r="C59" s="55">
        <v>22.34</v>
      </c>
      <c r="D59" s="55">
        <v>13.97</v>
      </c>
      <c r="E59" s="56">
        <f>(PI()*(Pinus[[#This Row],[d_cm]]^2))/40000</f>
        <v>3.9197305963647955E-2</v>
      </c>
      <c r="F59" s="56">
        <f>Pinus[[#This Row],[gi_m²]]*Pinus[[#This Row],[h_m]]*0.45</f>
        <v>0.24641386394047285</v>
      </c>
    </row>
    <row r="60" spans="1:6" x14ac:dyDescent="0.3">
      <c r="A60" s="37">
        <v>1</v>
      </c>
      <c r="B60" s="37">
        <v>59</v>
      </c>
      <c r="C60" s="55">
        <v>20.5</v>
      </c>
      <c r="D60" s="55">
        <v>13.63</v>
      </c>
      <c r="E60" s="56">
        <f>(PI()*(Pinus[[#This Row],[d_cm]]^2))/40000</f>
        <v>3.3006357816777764E-2</v>
      </c>
      <c r="F60" s="56">
        <f>Pinus[[#This Row],[gi_m²]]*Pinus[[#This Row],[h_m]]*0.45</f>
        <v>0.20244449566920641</v>
      </c>
    </row>
    <row r="61" spans="1:6" x14ac:dyDescent="0.3">
      <c r="A61" s="37">
        <v>1</v>
      </c>
      <c r="B61" s="37">
        <v>60</v>
      </c>
      <c r="C61" s="55">
        <v>20.86</v>
      </c>
      <c r="D61" s="55">
        <v>13.7</v>
      </c>
      <c r="E61" s="56">
        <f>(PI()*(Pinus[[#This Row],[d_cm]]^2))/40000</f>
        <v>3.4175784266150026E-2</v>
      </c>
      <c r="F61" s="56">
        <f>Pinus[[#This Row],[gi_m²]]*Pinus[[#This Row],[h_m]]*0.45</f>
        <v>0.21069371000081491</v>
      </c>
    </row>
    <row r="62" spans="1:6" x14ac:dyDescent="0.3">
      <c r="A62" s="37">
        <v>1</v>
      </c>
      <c r="B62" s="37">
        <v>61</v>
      </c>
      <c r="C62" s="55">
        <v>21.52</v>
      </c>
      <c r="D62" s="55">
        <v>13.83</v>
      </c>
      <c r="E62" s="56">
        <f>(PI()*(Pinus[[#This Row],[d_cm]]^2))/40000</f>
        <v>3.6372605761025759E-2</v>
      </c>
      <c r="F62" s="56">
        <f>Pinus[[#This Row],[gi_m²]]*Pinus[[#This Row],[h_m]]*0.45</f>
        <v>0.22636491195374381</v>
      </c>
    </row>
    <row r="63" spans="1:6" x14ac:dyDescent="0.3">
      <c r="A63" s="37">
        <v>1</v>
      </c>
      <c r="B63" s="37">
        <v>62</v>
      </c>
      <c r="C63" s="55">
        <v>17.989999999999998</v>
      </c>
      <c r="D63" s="55">
        <v>13.12</v>
      </c>
      <c r="E63" s="56">
        <f>(PI()*(Pinus[[#This Row],[d_cm]]^2))/40000</f>
        <v>2.5418634014176645E-2</v>
      </c>
      <c r="F63" s="56">
        <f>Pinus[[#This Row],[gi_m²]]*Pinus[[#This Row],[h_m]]*0.45</f>
        <v>0.15007161521969889</v>
      </c>
    </row>
    <row r="64" spans="1:6" x14ac:dyDescent="0.3">
      <c r="A64" s="37">
        <v>1</v>
      </c>
      <c r="B64" s="37">
        <v>63</v>
      </c>
      <c r="C64" s="55">
        <v>18.670000000000002</v>
      </c>
      <c r="D64" s="55">
        <v>13.26</v>
      </c>
      <c r="E64" s="56">
        <f>(PI()*(Pinus[[#This Row],[d_cm]]^2))/40000</f>
        <v>2.7376537387746886E-2</v>
      </c>
      <c r="F64" s="56">
        <f>Pinus[[#This Row],[gi_m²]]*Pinus[[#This Row],[h_m]]*0.45</f>
        <v>0.16335579859268567</v>
      </c>
    </row>
    <row r="65" spans="1:6" x14ac:dyDescent="0.3">
      <c r="A65" s="37">
        <v>1</v>
      </c>
      <c r="B65" s="37">
        <v>64</v>
      </c>
      <c r="C65" s="55">
        <v>15.93</v>
      </c>
      <c r="D65" s="55">
        <v>12.64</v>
      </c>
      <c r="E65" s="56">
        <f>(PI()*(Pinus[[#This Row],[d_cm]]^2))/40000</f>
        <v>1.9930648639473712E-2</v>
      </c>
      <c r="F65" s="56">
        <f>Pinus[[#This Row],[gi_m²]]*Pinus[[#This Row],[h_m]]*0.45</f>
        <v>0.11336552946132648</v>
      </c>
    </row>
    <row r="66" spans="1:6" x14ac:dyDescent="0.3">
      <c r="A66" s="37">
        <v>1</v>
      </c>
      <c r="B66" s="37">
        <v>65</v>
      </c>
      <c r="C66" s="55">
        <v>15.71</v>
      </c>
      <c r="D66" s="55">
        <v>12.58</v>
      </c>
      <c r="E66" s="56">
        <f>(PI()*(Pinus[[#This Row],[d_cm]]^2))/40000</f>
        <v>1.9383948685896019E-2</v>
      </c>
      <c r="F66" s="56">
        <f>Pinus[[#This Row],[gi_m²]]*Pinus[[#This Row],[h_m]]*0.45</f>
        <v>0.10973253351085736</v>
      </c>
    </row>
    <row r="67" spans="1:6" x14ac:dyDescent="0.3">
      <c r="A67" s="37">
        <v>1</v>
      </c>
      <c r="B67" s="37">
        <v>66</v>
      </c>
      <c r="C67" s="55">
        <v>21.21</v>
      </c>
      <c r="D67" s="55">
        <v>13.77</v>
      </c>
      <c r="E67" s="56">
        <f>(PI()*(Pinus[[#This Row],[d_cm]]^2))/40000</f>
        <v>3.5332243791844603E-2</v>
      </c>
      <c r="F67" s="56">
        <f>Pinus[[#This Row],[gi_m²]]*Pinus[[#This Row],[h_m]]*0.45</f>
        <v>0.21893624865616507</v>
      </c>
    </row>
    <row r="68" spans="1:6" x14ac:dyDescent="0.3">
      <c r="A68" s="37">
        <v>1</v>
      </c>
      <c r="B68" s="37">
        <v>67</v>
      </c>
      <c r="C68" s="55">
        <v>21.79</v>
      </c>
      <c r="D68" s="55">
        <v>13.88</v>
      </c>
      <c r="E68" s="56">
        <f>(PI()*(Pinus[[#This Row],[d_cm]]^2))/40000</f>
        <v>3.7291026811357833E-2</v>
      </c>
      <c r="F68" s="56">
        <f>Pinus[[#This Row],[gi_m²]]*Pinus[[#This Row],[h_m]]*0.45</f>
        <v>0.23291975346374102</v>
      </c>
    </row>
    <row r="69" spans="1:6" x14ac:dyDescent="0.3">
      <c r="A69" s="37">
        <v>1</v>
      </c>
      <c r="B69" s="37">
        <v>68</v>
      </c>
      <c r="C69" s="55">
        <v>20.21</v>
      </c>
      <c r="D69" s="55">
        <v>13.58</v>
      </c>
      <c r="E69" s="56">
        <f>(PI()*(Pinus[[#This Row],[d_cm]]^2))/40000</f>
        <v>3.2079124599052378E-2</v>
      </c>
      <c r="F69" s="56">
        <f>Pinus[[#This Row],[gi_m²]]*Pinus[[#This Row],[h_m]]*0.45</f>
        <v>0.19603553042480909</v>
      </c>
    </row>
    <row r="70" spans="1:6" x14ac:dyDescent="0.3">
      <c r="A70" s="37">
        <v>1</v>
      </c>
      <c r="B70" s="37">
        <v>69</v>
      </c>
      <c r="C70" s="55">
        <v>23.69</v>
      </c>
      <c r="D70" s="55">
        <v>14.21</v>
      </c>
      <c r="E70" s="56">
        <f>(PI()*(Pinus[[#This Row],[d_cm]]^2))/40000</f>
        <v>4.4077809420907874E-2</v>
      </c>
      <c r="F70" s="56">
        <f>Pinus[[#This Row],[gi_m²]]*Pinus[[#This Row],[h_m]]*0.45</f>
        <v>0.28185555234199544</v>
      </c>
    </row>
    <row r="71" spans="1:6" x14ac:dyDescent="0.3">
      <c r="A71" s="37">
        <v>1</v>
      </c>
      <c r="B71" s="37">
        <v>70</v>
      </c>
      <c r="C71" s="55">
        <v>28.2</v>
      </c>
      <c r="D71" s="55">
        <v>14.89</v>
      </c>
      <c r="E71" s="56">
        <f>(PI()*(Pinus[[#This Row],[d_cm]]^2))/40000</f>
        <v>6.245800354601868E-2</v>
      </c>
      <c r="F71" s="56">
        <f>Pinus[[#This Row],[gi_m²]]*Pinus[[#This Row],[h_m]]*0.45</f>
        <v>0.41849985276009821</v>
      </c>
    </row>
    <row r="72" spans="1:6" x14ac:dyDescent="0.3">
      <c r="A72" s="37">
        <v>1</v>
      </c>
      <c r="B72" s="37">
        <v>71</v>
      </c>
      <c r="C72" s="55">
        <v>18.04</v>
      </c>
      <c r="D72" s="55">
        <v>13.13</v>
      </c>
      <c r="E72" s="56">
        <f>(PI()*(Pinus[[#This Row],[d_cm]]^2))/40000</f>
        <v>2.55601234933127E-2</v>
      </c>
      <c r="F72" s="56">
        <f>Pinus[[#This Row],[gi_m²]]*Pinus[[#This Row],[h_m]]*0.45</f>
        <v>0.15102198966023811</v>
      </c>
    </row>
    <row r="73" spans="1:6" x14ac:dyDescent="0.3">
      <c r="A73" s="37">
        <v>1</v>
      </c>
      <c r="B73" s="37">
        <v>72</v>
      </c>
      <c r="C73" s="55">
        <v>10.76</v>
      </c>
      <c r="D73" s="55">
        <v>11.09</v>
      </c>
      <c r="E73" s="56">
        <f>(PI()*(Pinus[[#This Row],[d_cm]]^2))/40000</f>
        <v>9.0931514402564396E-3</v>
      </c>
      <c r="F73" s="56">
        <f>Pinus[[#This Row],[gi_m²]]*Pinus[[#This Row],[h_m]]*0.45</f>
        <v>4.5379372262599763E-2</v>
      </c>
    </row>
    <row r="74" spans="1:6" x14ac:dyDescent="0.3">
      <c r="A74" s="37">
        <v>1</v>
      </c>
      <c r="B74" s="37">
        <v>73</v>
      </c>
      <c r="C74" s="55">
        <v>24.02</v>
      </c>
      <c r="D74" s="55">
        <v>14.26</v>
      </c>
      <c r="E74" s="56">
        <f>(PI()*(Pinus[[#This Row],[d_cm]]^2))/40000</f>
        <v>4.5314363851305703E-2</v>
      </c>
      <c r="F74" s="56">
        <f>Pinus[[#This Row],[gi_m²]]*Pinus[[#This Row],[h_m]]*0.45</f>
        <v>0.29078227283382868</v>
      </c>
    </row>
    <row r="75" spans="1:6" x14ac:dyDescent="0.3">
      <c r="A75" s="37">
        <v>1</v>
      </c>
      <c r="B75" s="37">
        <v>74</v>
      </c>
      <c r="C75" s="55">
        <v>17.16</v>
      </c>
      <c r="D75" s="55">
        <v>12.93</v>
      </c>
      <c r="E75" s="56">
        <f>(PI()*(Pinus[[#This Row],[d_cm]]^2))/40000</f>
        <v>2.3127274142372763E-2</v>
      </c>
      <c r="F75" s="56">
        <f>Pinus[[#This Row],[gi_m²]]*Pinus[[#This Row],[h_m]]*0.45</f>
        <v>0.13456604459739593</v>
      </c>
    </row>
    <row r="76" spans="1:6" x14ac:dyDescent="0.3">
      <c r="A76" s="37">
        <v>1</v>
      </c>
      <c r="B76" s="37">
        <v>75</v>
      </c>
      <c r="C76" s="55">
        <v>17.25</v>
      </c>
      <c r="D76" s="55">
        <v>12.95</v>
      </c>
      <c r="E76" s="56">
        <f>(PI()*(Pinus[[#This Row],[d_cm]]^2))/40000</f>
        <v>2.3370504099595318E-2</v>
      </c>
      <c r="F76" s="56">
        <f>Pinus[[#This Row],[gi_m²]]*Pinus[[#This Row],[h_m]]*0.45</f>
        <v>0.13619161264039173</v>
      </c>
    </row>
    <row r="77" spans="1:6" x14ac:dyDescent="0.3">
      <c r="A77" s="37">
        <v>1</v>
      </c>
      <c r="B77" s="37">
        <v>76</v>
      </c>
      <c r="C77" s="55">
        <v>24.1</v>
      </c>
      <c r="D77" s="55">
        <v>14.27</v>
      </c>
      <c r="E77" s="56">
        <f>(PI()*(Pinus[[#This Row],[d_cm]]^2))/40000</f>
        <v>4.5616710728287199E-2</v>
      </c>
      <c r="F77" s="56">
        <f>Pinus[[#This Row],[gi_m²]]*Pinus[[#This Row],[h_m]]*0.45</f>
        <v>0.29292770794169626</v>
      </c>
    </row>
    <row r="78" spans="1:6" x14ac:dyDescent="0.3">
      <c r="A78" s="37">
        <v>1</v>
      </c>
      <c r="B78" s="37">
        <v>77</v>
      </c>
      <c r="C78" s="55">
        <v>18.86</v>
      </c>
      <c r="D78" s="55">
        <v>13.31</v>
      </c>
      <c r="E78" s="56">
        <f>(PI()*(Pinus[[#This Row],[d_cm]]^2))/40000</f>
        <v>2.7936581256120696E-2</v>
      </c>
      <c r="F78" s="56">
        <f>Pinus[[#This Row],[gi_m²]]*Pinus[[#This Row],[h_m]]*0.45</f>
        <v>0.16732615343353491</v>
      </c>
    </row>
    <row r="79" spans="1:6" x14ac:dyDescent="0.3">
      <c r="A79" s="37">
        <v>1</v>
      </c>
      <c r="B79" s="37">
        <v>78</v>
      </c>
      <c r="C79" s="55">
        <v>15.12</v>
      </c>
      <c r="D79" s="55">
        <v>12.43</v>
      </c>
      <c r="E79" s="56">
        <f>(PI()*(Pinus[[#This Row],[d_cm]]^2))/40000</f>
        <v>1.7955332988620957E-2</v>
      </c>
      <c r="F79" s="56">
        <f>Pinus[[#This Row],[gi_m²]]*Pinus[[#This Row],[h_m]]*0.45</f>
        <v>0.10043315507185133</v>
      </c>
    </row>
    <row r="80" spans="1:6" x14ac:dyDescent="0.3">
      <c r="A80" s="37">
        <v>1</v>
      </c>
      <c r="B80" s="37">
        <v>79</v>
      </c>
      <c r="C80" s="55">
        <v>20.73</v>
      </c>
      <c r="D80" s="55">
        <v>13.68</v>
      </c>
      <c r="E80" s="56">
        <f>(PI()*(Pinus[[#This Row],[d_cm]]^2))/40000</f>
        <v>3.3751143041145931E-2</v>
      </c>
      <c r="F80" s="56">
        <f>Pinus[[#This Row],[gi_m²]]*Pinus[[#This Row],[h_m]]*0.45</f>
        <v>0.20777203656129434</v>
      </c>
    </row>
    <row r="81" spans="1:6" x14ac:dyDescent="0.3">
      <c r="A81" s="37">
        <v>1</v>
      </c>
      <c r="B81" s="37">
        <v>80</v>
      </c>
      <c r="C81" s="55">
        <v>19.440000000000001</v>
      </c>
      <c r="D81" s="55">
        <v>13.43</v>
      </c>
      <c r="E81" s="56">
        <f>(PI()*(Pinus[[#This Row],[d_cm]]^2))/40000</f>
        <v>2.968126473629179E-2</v>
      </c>
      <c r="F81" s="56">
        <f>Pinus[[#This Row],[gi_m²]]*Pinus[[#This Row],[h_m]]*0.45</f>
        <v>0.17937872343377945</v>
      </c>
    </row>
    <row r="82" spans="1:6" x14ac:dyDescent="0.3">
      <c r="A82" s="37">
        <v>1</v>
      </c>
      <c r="B82" s="37">
        <v>81</v>
      </c>
      <c r="C82" s="55">
        <v>20.02</v>
      </c>
      <c r="D82" s="55">
        <v>13.54</v>
      </c>
      <c r="E82" s="56">
        <f>(PI()*(Pinus[[#This Row],[d_cm]]^2))/40000</f>
        <v>3.1478789804896261E-2</v>
      </c>
      <c r="F82" s="56">
        <f>Pinus[[#This Row],[gi_m²]]*Pinus[[#This Row],[h_m]]*0.45</f>
        <v>0.19180026628123292</v>
      </c>
    </row>
    <row r="83" spans="1:6" x14ac:dyDescent="0.3">
      <c r="A83" s="37">
        <v>1</v>
      </c>
      <c r="B83" s="37">
        <v>82</v>
      </c>
      <c r="C83" s="55">
        <v>21.54</v>
      </c>
      <c r="D83" s="55">
        <v>13.83</v>
      </c>
      <c r="E83" s="56">
        <f>(PI()*(Pinus[[#This Row],[d_cm]]^2))/40000</f>
        <v>3.6440244250857547E-2</v>
      </c>
      <c r="F83" s="56">
        <f>Pinus[[#This Row],[gi_m²]]*Pinus[[#This Row],[h_m]]*0.45</f>
        <v>0.22678586009521196</v>
      </c>
    </row>
    <row r="84" spans="1:6" x14ac:dyDescent="0.3">
      <c r="A84" s="37">
        <v>1</v>
      </c>
      <c r="B84" s="37">
        <v>83</v>
      </c>
      <c r="C84" s="55">
        <v>18.52</v>
      </c>
      <c r="D84" s="55">
        <v>13.23</v>
      </c>
      <c r="E84" s="56">
        <f>(PI()*(Pinus[[#This Row],[d_cm]]^2))/40000</f>
        <v>2.6938403022295613E-2</v>
      </c>
      <c r="F84" s="56">
        <f>Pinus[[#This Row],[gi_m²]]*Pinus[[#This Row],[h_m]]*0.45</f>
        <v>0.16037778239323694</v>
      </c>
    </row>
    <row r="85" spans="1:6" x14ac:dyDescent="0.3">
      <c r="A85" s="37">
        <v>1</v>
      </c>
      <c r="B85" s="37">
        <v>84</v>
      </c>
      <c r="C85" s="55">
        <v>22.58</v>
      </c>
      <c r="D85" s="55">
        <v>14.02</v>
      </c>
      <c r="E85" s="56">
        <f>(PI()*(Pinus[[#This Row],[d_cm]]^2))/40000</f>
        <v>4.0044028015643468E-2</v>
      </c>
      <c r="F85" s="56">
        <f>Pinus[[#This Row],[gi_m²]]*Pinus[[#This Row],[h_m]]*0.45</f>
        <v>0.25263777275069466</v>
      </c>
    </row>
    <row r="86" spans="1:6" x14ac:dyDescent="0.3">
      <c r="A86" s="37">
        <v>1</v>
      </c>
      <c r="B86" s="37">
        <v>85</v>
      </c>
      <c r="C86" s="55">
        <v>19.12</v>
      </c>
      <c r="D86" s="55">
        <v>13.36</v>
      </c>
      <c r="E86" s="56">
        <f>(PI()*(Pinus[[#This Row],[d_cm]]^2))/40000</f>
        <v>2.8712146234512414E-2</v>
      </c>
      <c r="F86" s="56">
        <f>Pinus[[#This Row],[gi_m²]]*Pinus[[#This Row],[h_m]]*0.45</f>
        <v>0.17261742316188863</v>
      </c>
    </row>
    <row r="87" spans="1:6" x14ac:dyDescent="0.3">
      <c r="A87" s="37">
        <v>1</v>
      </c>
      <c r="B87" s="37">
        <v>86</v>
      </c>
      <c r="C87" s="55">
        <v>21.33</v>
      </c>
      <c r="D87" s="55">
        <v>13.79</v>
      </c>
      <c r="E87" s="56">
        <f>(PI()*(Pinus[[#This Row],[d_cm]]^2))/40000</f>
        <v>3.5733173846295721E-2</v>
      </c>
      <c r="F87" s="56">
        <f>Pinus[[#This Row],[gi_m²]]*Pinus[[#This Row],[h_m]]*0.45</f>
        <v>0.22174221030318808</v>
      </c>
    </row>
    <row r="88" spans="1:6" x14ac:dyDescent="0.3">
      <c r="A88" s="37">
        <v>1</v>
      </c>
      <c r="B88" s="37">
        <v>87</v>
      </c>
      <c r="C88" s="55">
        <v>24.39</v>
      </c>
      <c r="D88" s="55">
        <v>14.32</v>
      </c>
      <c r="E88" s="56">
        <f>(PI()*(Pinus[[#This Row],[d_cm]]^2))/40000</f>
        <v>4.6721145479638321E-2</v>
      </c>
      <c r="F88" s="56">
        <f>Pinus[[#This Row],[gi_m²]]*Pinus[[#This Row],[h_m]]*0.45</f>
        <v>0.30107106147078938</v>
      </c>
    </row>
    <row r="89" spans="1:6" x14ac:dyDescent="0.3">
      <c r="A89" s="37">
        <v>1</v>
      </c>
      <c r="B89" s="37">
        <v>88</v>
      </c>
      <c r="C89" s="55">
        <v>21.74</v>
      </c>
      <c r="D89" s="55">
        <v>13.87</v>
      </c>
      <c r="E89" s="56">
        <f>(PI()*(Pinus[[#This Row],[d_cm]]^2))/40000</f>
        <v>3.7120084901094377E-2</v>
      </c>
      <c r="F89" s="56">
        <f>Pinus[[#This Row],[gi_m²]]*Pinus[[#This Row],[h_m]]*0.45</f>
        <v>0.23168500991018057</v>
      </c>
    </row>
    <row r="90" spans="1:6" x14ac:dyDescent="0.3">
      <c r="A90" s="37">
        <v>1</v>
      </c>
      <c r="B90" s="37">
        <v>89</v>
      </c>
      <c r="C90" s="55">
        <v>18.7</v>
      </c>
      <c r="D90" s="55">
        <v>13.27</v>
      </c>
      <c r="E90" s="56">
        <f>(PI()*(Pinus[[#This Row],[d_cm]]^2))/40000</f>
        <v>2.746458837584537E-2</v>
      </c>
      <c r="F90" s="56">
        <f>Pinus[[#This Row],[gi_m²]]*Pinus[[#This Row],[h_m]]*0.45</f>
        <v>0.16400478948636063</v>
      </c>
    </row>
    <row r="91" spans="1:6" x14ac:dyDescent="0.3">
      <c r="A91" s="37">
        <v>1</v>
      </c>
      <c r="B91" s="37">
        <v>90</v>
      </c>
      <c r="C91" s="55">
        <v>24.6</v>
      </c>
      <c r="D91" s="55">
        <v>14.35</v>
      </c>
      <c r="E91" s="56">
        <f>(PI()*(Pinus[[#This Row],[d_cm]]^2))/40000</f>
        <v>4.7529155256159986E-2</v>
      </c>
      <c r="F91" s="56">
        <f>Pinus[[#This Row],[gi_m²]]*Pinus[[#This Row],[h_m]]*0.45</f>
        <v>0.30691952006665307</v>
      </c>
    </row>
    <row r="92" spans="1:6" x14ac:dyDescent="0.3">
      <c r="A92" s="37">
        <v>1</v>
      </c>
      <c r="B92" s="37">
        <v>91</v>
      </c>
      <c r="C92" s="55">
        <v>23.97</v>
      </c>
      <c r="D92" s="55">
        <v>14.25</v>
      </c>
      <c r="E92" s="56">
        <f>(PI()*(Pinus[[#This Row],[d_cm]]^2))/40000</f>
        <v>4.5125907561998489E-2</v>
      </c>
      <c r="F92" s="56">
        <f>Pinus[[#This Row],[gi_m²]]*Pinus[[#This Row],[h_m]]*0.45</f>
        <v>0.28936988224131532</v>
      </c>
    </row>
    <row r="93" spans="1:6" x14ac:dyDescent="0.3">
      <c r="A93" s="37">
        <v>1</v>
      </c>
      <c r="B93" s="37">
        <v>92</v>
      </c>
      <c r="C93" s="55">
        <v>22.19</v>
      </c>
      <c r="D93" s="55">
        <v>13.95</v>
      </c>
      <c r="E93" s="56">
        <f>(PI()*(Pinus[[#This Row],[d_cm]]^2))/40000</f>
        <v>3.8672699260406632E-2</v>
      </c>
      <c r="F93" s="56">
        <f>Pinus[[#This Row],[gi_m²]]*Pinus[[#This Row],[h_m]]*0.45</f>
        <v>0.24276786960720265</v>
      </c>
    </row>
    <row r="94" spans="1:6" x14ac:dyDescent="0.3">
      <c r="A94" s="37">
        <v>1</v>
      </c>
      <c r="B94" s="37">
        <v>93</v>
      </c>
      <c r="C94" s="55">
        <v>20.95</v>
      </c>
      <c r="D94" s="55">
        <v>13.72</v>
      </c>
      <c r="E94" s="56">
        <f>(PI()*(Pinus[[#This Row],[d_cm]]^2))/40000</f>
        <v>3.4471321741054849E-2</v>
      </c>
      <c r="F94" s="56">
        <f>Pinus[[#This Row],[gi_m²]]*Pinus[[#This Row],[h_m]]*0.45</f>
        <v>0.21282594042927266</v>
      </c>
    </row>
    <row r="95" spans="1:6" x14ac:dyDescent="0.3">
      <c r="A95" s="37">
        <v>1</v>
      </c>
      <c r="B95" s="37">
        <v>94</v>
      </c>
      <c r="C95" s="55">
        <v>17.489999999999998</v>
      </c>
      <c r="D95" s="55">
        <v>13.01</v>
      </c>
      <c r="E95" s="56">
        <f>(PI()*(Pinus[[#This Row],[d_cm]]^2))/40000</f>
        <v>2.4025337672309573E-2</v>
      </c>
      <c r="F95" s="56">
        <f>Pinus[[#This Row],[gi_m²]]*Pinus[[#This Row],[h_m]]*0.45</f>
        <v>0.14065633940253641</v>
      </c>
    </row>
    <row r="96" spans="1:6" x14ac:dyDescent="0.3">
      <c r="A96" s="37">
        <v>1</v>
      </c>
      <c r="B96" s="37">
        <v>95</v>
      </c>
      <c r="C96" s="55">
        <v>25.44</v>
      </c>
      <c r="D96" s="55">
        <v>14.49</v>
      </c>
      <c r="E96" s="56">
        <f>(PI()*(Pinus[[#This Row],[d_cm]]^2))/40000</f>
        <v>5.0830466480258282E-2</v>
      </c>
      <c r="F96" s="56">
        <f>Pinus[[#This Row],[gi_m²]]*Pinus[[#This Row],[h_m]]*0.45</f>
        <v>0.33144005668452414</v>
      </c>
    </row>
    <row r="97" spans="1:6" x14ac:dyDescent="0.3">
      <c r="A97" s="37">
        <v>1</v>
      </c>
      <c r="B97" s="37">
        <v>96</v>
      </c>
      <c r="C97" s="55">
        <v>17.600000000000001</v>
      </c>
      <c r="D97" s="55">
        <v>13.03</v>
      </c>
      <c r="E97" s="56">
        <f>(PI()*(Pinus[[#This Row],[d_cm]]^2))/40000</f>
        <v>2.4328493509399363E-2</v>
      </c>
      <c r="F97" s="56">
        <f>Pinus[[#This Row],[gi_m²]]*Pinus[[#This Row],[h_m]]*0.45</f>
        <v>0.14265012169236316</v>
      </c>
    </row>
    <row r="98" spans="1:6" x14ac:dyDescent="0.3">
      <c r="A98" s="37">
        <v>1</v>
      </c>
      <c r="B98" s="37">
        <v>97</v>
      </c>
      <c r="C98" s="55">
        <v>28.75</v>
      </c>
      <c r="D98" s="55">
        <v>14.97</v>
      </c>
      <c r="E98" s="56">
        <f>(PI()*(Pinus[[#This Row],[d_cm]]^2))/40000</f>
        <v>6.4918066943320335E-2</v>
      </c>
      <c r="F98" s="56">
        <f>Pinus[[#This Row],[gi_m²]]*Pinus[[#This Row],[h_m]]*0.45</f>
        <v>0.43732055796367747</v>
      </c>
    </row>
    <row r="99" spans="1:6" x14ac:dyDescent="0.3">
      <c r="A99" s="37">
        <v>1</v>
      </c>
      <c r="B99" s="37">
        <v>98</v>
      </c>
      <c r="C99" s="55">
        <v>26.13</v>
      </c>
      <c r="D99" s="55">
        <v>14.59</v>
      </c>
      <c r="E99" s="56">
        <f>(PI()*(Pinus[[#This Row],[d_cm]]^2))/40000</f>
        <v>5.3625172327020312E-2</v>
      </c>
      <c r="F99" s="56">
        <f>Pinus[[#This Row],[gi_m²]]*Pinus[[#This Row],[h_m]]*0.45</f>
        <v>0.35207606891305188</v>
      </c>
    </row>
    <row r="100" spans="1:6" x14ac:dyDescent="0.3">
      <c r="A100" s="37">
        <v>1</v>
      </c>
      <c r="B100" s="37">
        <v>99</v>
      </c>
      <c r="C100" s="55">
        <v>19.059999999999999</v>
      </c>
      <c r="D100" s="55">
        <v>13.35</v>
      </c>
      <c r="E100" s="56">
        <f>(PI()*(Pinus[[#This Row],[d_cm]]^2))/40000</f>
        <v>2.8532227223241325E-2</v>
      </c>
      <c r="F100" s="56">
        <f>Pinus[[#This Row],[gi_m²]]*Pinus[[#This Row],[h_m]]*0.45</f>
        <v>0.17140735504362226</v>
      </c>
    </row>
    <row r="101" spans="1:6" x14ac:dyDescent="0.3">
      <c r="A101" s="37">
        <v>1</v>
      </c>
      <c r="B101" s="37">
        <v>100</v>
      </c>
      <c r="C101" s="55">
        <v>15.89</v>
      </c>
      <c r="D101" s="55">
        <v>12.63</v>
      </c>
      <c r="E101" s="56">
        <f>(PI()*(Pinus[[#This Row],[d_cm]]^2))/40000</f>
        <v>1.9830683161236488E-2</v>
      </c>
      <c r="F101" s="56">
        <f>Pinus[[#This Row],[gi_m²]]*Pinus[[#This Row],[h_m]]*0.45</f>
        <v>0.11270768774688759</v>
      </c>
    </row>
    <row r="102" spans="1:6" x14ac:dyDescent="0.3">
      <c r="A102" s="37">
        <v>2</v>
      </c>
      <c r="B102" s="37">
        <v>1</v>
      </c>
      <c r="C102" s="55">
        <v>17.16</v>
      </c>
      <c r="D102" s="55">
        <v>13.1</v>
      </c>
      <c r="E102" s="56">
        <f>(PI()*(Pinus[[#This Row],[d_cm]]^2))/40000</f>
        <v>2.3127274142372763E-2</v>
      </c>
      <c r="F102" s="56">
        <f>Pinus[[#This Row],[gi_m²]]*Pinus[[#This Row],[h_m]]*0.45</f>
        <v>0.13633528106928744</v>
      </c>
    </row>
    <row r="103" spans="1:6" x14ac:dyDescent="0.3">
      <c r="A103" s="37">
        <v>2</v>
      </c>
      <c r="B103" s="37">
        <v>2</v>
      </c>
      <c r="C103" s="55">
        <v>21.03</v>
      </c>
      <c r="D103" s="55">
        <v>13.91</v>
      </c>
      <c r="E103" s="56">
        <f>(PI()*(Pinus[[#This Row],[d_cm]]^2))/40000</f>
        <v>3.4735089860250257E-2</v>
      </c>
      <c r="F103" s="56">
        <f>Pinus[[#This Row],[gi_m²]]*Pinus[[#This Row],[h_m]]*0.45</f>
        <v>0.21742429498023649</v>
      </c>
    </row>
    <row r="104" spans="1:6" x14ac:dyDescent="0.3">
      <c r="A104" s="37">
        <v>2</v>
      </c>
      <c r="B104" s="37">
        <v>3</v>
      </c>
      <c r="C104" s="55">
        <v>19.010000000000002</v>
      </c>
      <c r="D104" s="55">
        <v>13.51</v>
      </c>
      <c r="E104" s="56">
        <f>(PI()*(Pinus[[#This Row],[d_cm]]^2))/40000</f>
        <v>2.8382726682838626E-2</v>
      </c>
      <c r="F104" s="56">
        <f>Pinus[[#This Row],[gi_m²]]*Pinus[[#This Row],[h_m]]*0.45</f>
        <v>0.17255278686831743</v>
      </c>
    </row>
    <row r="105" spans="1:6" x14ac:dyDescent="0.3">
      <c r="A105" s="37">
        <v>2</v>
      </c>
      <c r="B105" s="37">
        <v>4</v>
      </c>
      <c r="C105" s="55">
        <v>18.61</v>
      </c>
      <c r="D105" s="55">
        <v>13.42</v>
      </c>
      <c r="E105" s="56">
        <f>(PI()*(Pinus[[#This Row],[d_cm]]^2))/40000</f>
        <v>2.7200859526558138E-2</v>
      </c>
      <c r="F105" s="56">
        <f>Pinus[[#This Row],[gi_m²]]*Pinus[[#This Row],[h_m]]*0.45</f>
        <v>0.1642659906808846</v>
      </c>
    </row>
    <row r="106" spans="1:6" x14ac:dyDescent="0.3">
      <c r="A106" s="37">
        <v>2</v>
      </c>
      <c r="B106" s="37">
        <v>5</v>
      </c>
      <c r="C106" s="55">
        <v>16.190000000000001</v>
      </c>
      <c r="D106" s="55">
        <v>12.86</v>
      </c>
      <c r="E106" s="56">
        <f>(PI()*(Pinus[[#This Row],[d_cm]]^2))/40000</f>
        <v>2.058655035369019E-2</v>
      </c>
      <c r="F106" s="56">
        <f>Pinus[[#This Row],[gi_m²]]*Pinus[[#This Row],[h_m]]*0.45</f>
        <v>0.11913436689680514</v>
      </c>
    </row>
    <row r="107" spans="1:6" x14ac:dyDescent="0.3">
      <c r="A107" s="37">
        <v>2</v>
      </c>
      <c r="B107" s="37">
        <v>6</v>
      </c>
      <c r="C107" s="55">
        <v>19.82</v>
      </c>
      <c r="D107" s="55">
        <v>13.67</v>
      </c>
      <c r="E107" s="56">
        <f>(PI()*(Pinus[[#This Row],[d_cm]]^2))/40000</f>
        <v>3.0852984548301175E-2</v>
      </c>
      <c r="F107" s="56">
        <f>Pinus[[#This Row],[gi_m²]]*Pinus[[#This Row],[h_m]]*0.45</f>
        <v>0.18979213444887466</v>
      </c>
    </row>
    <row r="108" spans="1:6" x14ac:dyDescent="0.3">
      <c r="A108" s="37">
        <v>2</v>
      </c>
      <c r="B108" s="37">
        <v>7</v>
      </c>
      <c r="C108" s="55">
        <v>16.86</v>
      </c>
      <c r="D108" s="55">
        <v>13.03</v>
      </c>
      <c r="E108" s="56">
        <f>(PI()*(Pinus[[#This Row],[d_cm]]^2))/40000</f>
        <v>2.2325696776809328E-2</v>
      </c>
      <c r="F108" s="56">
        <f>Pinus[[#This Row],[gi_m²]]*Pinus[[#This Row],[h_m]]*0.45</f>
        <v>0.13090672305082149</v>
      </c>
    </row>
    <row r="109" spans="1:6" x14ac:dyDescent="0.3">
      <c r="A109" s="37">
        <v>2</v>
      </c>
      <c r="B109" s="37">
        <v>8</v>
      </c>
      <c r="C109" s="55">
        <v>13.33</v>
      </c>
      <c r="D109" s="55">
        <v>12.09</v>
      </c>
      <c r="E109" s="56">
        <f>(PI()*(Pinus[[#This Row],[d_cm]]^2))/40000</f>
        <v>1.3955653571611285E-2</v>
      </c>
      <c r="F109" s="56">
        <f>Pinus[[#This Row],[gi_m²]]*Pinus[[#This Row],[h_m]]*0.45</f>
        <v>7.5925733256351199E-2</v>
      </c>
    </row>
    <row r="110" spans="1:6" x14ac:dyDescent="0.3">
      <c r="A110" s="37">
        <v>2</v>
      </c>
      <c r="B110" s="37">
        <v>9</v>
      </c>
      <c r="C110" s="55">
        <v>18.48</v>
      </c>
      <c r="D110" s="55">
        <v>13.39</v>
      </c>
      <c r="E110" s="56">
        <f>(PI()*(Pinus[[#This Row],[d_cm]]^2))/40000</f>
        <v>2.6822164094112793E-2</v>
      </c>
      <c r="F110" s="56">
        <f>Pinus[[#This Row],[gi_m²]]*Pinus[[#This Row],[h_m]]*0.45</f>
        <v>0.16161694974907664</v>
      </c>
    </row>
    <row r="111" spans="1:6" x14ac:dyDescent="0.3">
      <c r="A111" s="37">
        <v>2</v>
      </c>
      <c r="B111" s="37">
        <v>10</v>
      </c>
      <c r="C111" s="55">
        <v>23.68</v>
      </c>
      <c r="D111" s="55">
        <v>14.38</v>
      </c>
      <c r="E111" s="56">
        <f>(PI()*(Pinus[[#This Row],[d_cm]]^2))/40000</f>
        <v>4.4040605109907725E-2</v>
      </c>
      <c r="F111" s="56">
        <f>Pinus[[#This Row],[gi_m²]]*Pinus[[#This Row],[h_m]]*0.45</f>
        <v>0.2849867556662129</v>
      </c>
    </row>
    <row r="112" spans="1:6" x14ac:dyDescent="0.3">
      <c r="A112" s="37">
        <v>2</v>
      </c>
      <c r="B112" s="37">
        <v>11</v>
      </c>
      <c r="C112" s="55">
        <v>17.7</v>
      </c>
      <c r="D112" s="55">
        <v>13.22</v>
      </c>
      <c r="E112" s="56">
        <f>(PI()*(Pinus[[#This Row],[d_cm]]^2))/40000</f>
        <v>2.4605739061078654E-2</v>
      </c>
      <c r="F112" s="56">
        <f>Pinus[[#This Row],[gi_m²]]*Pinus[[#This Row],[h_m]]*0.45</f>
        <v>0.14637954167435693</v>
      </c>
    </row>
    <row r="113" spans="1:6" x14ac:dyDescent="0.3">
      <c r="A113" s="37">
        <v>2</v>
      </c>
      <c r="B113" s="37">
        <v>12</v>
      </c>
      <c r="C113" s="55">
        <v>22.43</v>
      </c>
      <c r="D113" s="55">
        <v>14.17</v>
      </c>
      <c r="E113" s="56">
        <f>(PI()*(Pinus[[#This Row],[d_cm]]^2))/40000</f>
        <v>3.9513766445625688E-2</v>
      </c>
      <c r="F113" s="56">
        <f>Pinus[[#This Row],[gi_m²]]*Pinus[[#This Row],[h_m]]*0.45</f>
        <v>0.25195953174053221</v>
      </c>
    </row>
    <row r="114" spans="1:6" x14ac:dyDescent="0.3">
      <c r="A114" s="37">
        <v>2</v>
      </c>
      <c r="B114" s="37">
        <v>13</v>
      </c>
      <c r="C114" s="55">
        <v>13.53</v>
      </c>
      <c r="D114" s="55">
        <v>12.14</v>
      </c>
      <c r="E114" s="56">
        <f>(PI()*(Pinus[[#This Row],[d_cm]]^2))/40000</f>
        <v>1.4377569464988391E-2</v>
      </c>
      <c r="F114" s="56">
        <f>Pinus[[#This Row],[gi_m²]]*Pinus[[#This Row],[h_m]]*0.45</f>
        <v>7.854466198723159E-2</v>
      </c>
    </row>
    <row r="115" spans="1:6" x14ac:dyDescent="0.3">
      <c r="A115" s="37">
        <v>2</v>
      </c>
      <c r="B115" s="37">
        <v>14</v>
      </c>
      <c r="C115" s="55">
        <v>19.78</v>
      </c>
      <c r="D115" s="55">
        <v>13.66</v>
      </c>
      <c r="E115" s="56">
        <f>(PI()*(Pinus[[#This Row],[d_cm]]^2))/40000</f>
        <v>3.0728577479219026E-2</v>
      </c>
      <c r="F115" s="56">
        <f>Pinus[[#This Row],[gi_m²]]*Pinus[[#This Row],[h_m]]*0.45</f>
        <v>0.18888856576475935</v>
      </c>
    </row>
    <row r="116" spans="1:6" x14ac:dyDescent="0.3">
      <c r="A116" s="37">
        <v>2</v>
      </c>
      <c r="B116" s="37">
        <v>15</v>
      </c>
      <c r="C116" s="55">
        <v>22.08</v>
      </c>
      <c r="D116" s="55">
        <v>14.1</v>
      </c>
      <c r="E116" s="56">
        <f>(PI()*(Pinus[[#This Row],[d_cm]]^2))/40000</f>
        <v>3.8290233916776967E-2</v>
      </c>
      <c r="F116" s="56">
        <f>Pinus[[#This Row],[gi_m²]]*Pinus[[#This Row],[h_m]]*0.45</f>
        <v>0.24295153420194987</v>
      </c>
    </row>
    <row r="117" spans="1:6" x14ac:dyDescent="0.3">
      <c r="A117" s="37">
        <v>2</v>
      </c>
      <c r="B117" s="37">
        <v>16</v>
      </c>
      <c r="C117" s="55">
        <v>21.2</v>
      </c>
      <c r="D117" s="55">
        <v>13.94</v>
      </c>
      <c r="E117" s="56">
        <f>(PI()*(Pinus[[#This Row],[d_cm]]^2))/40000</f>
        <v>3.5298935055734913E-2</v>
      </c>
      <c r="F117" s="56">
        <f>Pinus[[#This Row],[gi_m²]]*Pinus[[#This Row],[h_m]]*0.45</f>
        <v>0.22143021960462511</v>
      </c>
    </row>
    <row r="118" spans="1:6" x14ac:dyDescent="0.3">
      <c r="A118" s="37">
        <v>2</v>
      </c>
      <c r="B118" s="37">
        <v>17</v>
      </c>
      <c r="C118" s="55">
        <v>20.420000000000002</v>
      </c>
      <c r="D118" s="55">
        <v>13.79</v>
      </c>
      <c r="E118" s="56">
        <f>(PI()*(Pinus[[#This Row],[d_cm]]^2))/40000</f>
        <v>3.2749249874007978E-2</v>
      </c>
      <c r="F118" s="56">
        <f>Pinus[[#This Row],[gi_m²]]*Pinus[[#This Row],[h_m]]*0.45</f>
        <v>0.2032254700931565</v>
      </c>
    </row>
    <row r="119" spans="1:6" x14ac:dyDescent="0.3">
      <c r="A119" s="37">
        <v>2</v>
      </c>
      <c r="B119" s="37">
        <v>18</v>
      </c>
      <c r="C119" s="55">
        <v>17.440000000000001</v>
      </c>
      <c r="D119" s="55">
        <v>13.16</v>
      </c>
      <c r="E119" s="56">
        <f>(PI()*(Pinus[[#This Row],[d_cm]]^2))/40000</f>
        <v>2.3888167883072218E-2</v>
      </c>
      <c r="F119" s="56">
        <f>Pinus[[#This Row],[gi_m²]]*Pinus[[#This Row],[h_m]]*0.45</f>
        <v>0.14146573020355369</v>
      </c>
    </row>
    <row r="120" spans="1:6" x14ac:dyDescent="0.3">
      <c r="A120" s="37">
        <v>2</v>
      </c>
      <c r="B120" s="37">
        <v>19</v>
      </c>
      <c r="C120" s="55">
        <v>16.600000000000001</v>
      </c>
      <c r="D120" s="55">
        <v>12.96</v>
      </c>
      <c r="E120" s="56">
        <f>(PI()*(Pinus[[#This Row],[d_cm]]^2))/40000</f>
        <v>2.1642431790580091E-2</v>
      </c>
      <c r="F120" s="56">
        <f>Pinus[[#This Row],[gi_m²]]*Pinus[[#This Row],[h_m]]*0.45</f>
        <v>0.12621866220266309</v>
      </c>
    </row>
    <row r="121" spans="1:6" x14ac:dyDescent="0.3">
      <c r="A121" s="37">
        <v>2</v>
      </c>
      <c r="B121" s="37">
        <v>20</v>
      </c>
      <c r="C121" s="55">
        <v>15.9</v>
      </c>
      <c r="D121" s="55">
        <v>12.79</v>
      </c>
      <c r="E121" s="56">
        <f>(PI()*(Pinus[[#This Row],[d_cm]]^2))/40000</f>
        <v>1.9855650968850891E-2</v>
      </c>
      <c r="F121" s="56">
        <f>Pinus[[#This Row],[gi_m²]]*Pinus[[#This Row],[h_m]]*0.45</f>
        <v>0.11427919915122131</v>
      </c>
    </row>
    <row r="122" spans="1:6" x14ac:dyDescent="0.3">
      <c r="A122" s="37">
        <v>2</v>
      </c>
      <c r="B122" s="37">
        <v>21</v>
      </c>
      <c r="C122" s="55">
        <v>20.47</v>
      </c>
      <c r="D122" s="55">
        <v>13.8</v>
      </c>
      <c r="E122" s="56">
        <f>(PI()*(Pinus[[#This Row],[d_cm]]^2))/40000</f>
        <v>3.2909824528514577E-2</v>
      </c>
      <c r="F122" s="56">
        <f>Pinus[[#This Row],[gi_m²]]*Pinus[[#This Row],[h_m]]*0.45</f>
        <v>0.20437001032207555</v>
      </c>
    </row>
    <row r="123" spans="1:6" x14ac:dyDescent="0.3">
      <c r="A123" s="37">
        <v>2</v>
      </c>
      <c r="B123" s="37">
        <v>22</v>
      </c>
      <c r="C123" s="55">
        <v>16.21</v>
      </c>
      <c r="D123" s="55">
        <v>12.87</v>
      </c>
      <c r="E123" s="56">
        <f>(PI()*(Pinus[[#This Row],[d_cm]]^2))/40000</f>
        <v>2.0637444154678344E-2</v>
      </c>
      <c r="F123" s="56">
        <f>Pinus[[#This Row],[gi_m²]]*Pinus[[#This Row],[h_m]]*0.45</f>
        <v>0.11952175782181963</v>
      </c>
    </row>
    <row r="124" spans="1:6" x14ac:dyDescent="0.3">
      <c r="A124" s="37">
        <v>2</v>
      </c>
      <c r="B124" s="37">
        <v>23</v>
      </c>
      <c r="C124" s="55">
        <v>18.04</v>
      </c>
      <c r="D124" s="55">
        <v>13.29</v>
      </c>
      <c r="E124" s="56">
        <f>(PI()*(Pinus[[#This Row],[d_cm]]^2))/40000</f>
        <v>2.55601234933127E-2</v>
      </c>
      <c r="F124" s="56">
        <f>Pinus[[#This Row],[gi_m²]]*Pinus[[#This Row],[h_m]]*0.45</f>
        <v>0.15286231855175661</v>
      </c>
    </row>
    <row r="125" spans="1:6" x14ac:dyDescent="0.3">
      <c r="A125" s="37">
        <v>2</v>
      </c>
      <c r="B125" s="37">
        <v>24</v>
      </c>
      <c r="C125" s="55">
        <v>18.98</v>
      </c>
      <c r="D125" s="55">
        <v>13.5</v>
      </c>
      <c r="E125" s="56">
        <f>(PI()*(Pinus[[#This Row],[d_cm]]^2))/40000</f>
        <v>2.8293214854156212E-2</v>
      </c>
      <c r="F125" s="56">
        <f>Pinus[[#This Row],[gi_m²]]*Pinus[[#This Row],[h_m]]*0.45</f>
        <v>0.17188128023899898</v>
      </c>
    </row>
    <row r="126" spans="1:6" x14ac:dyDescent="0.3">
      <c r="A126" s="37">
        <v>2</v>
      </c>
      <c r="B126" s="37">
        <v>25</v>
      </c>
      <c r="C126" s="55">
        <v>27.38</v>
      </c>
      <c r="D126" s="55">
        <v>14.96</v>
      </c>
      <c r="E126" s="56">
        <f>(PI()*(Pinus[[#This Row],[d_cm]]^2))/40000</f>
        <v>5.8878504292445004E-2</v>
      </c>
      <c r="F126" s="56">
        <f>Pinus[[#This Row],[gi_m²]]*Pinus[[#This Row],[h_m]]*0.45</f>
        <v>0.3963700908967398</v>
      </c>
    </row>
    <row r="127" spans="1:6" x14ac:dyDescent="0.3">
      <c r="A127" s="37">
        <v>2</v>
      </c>
      <c r="B127" s="37">
        <v>26</v>
      </c>
      <c r="C127" s="55">
        <v>17.39</v>
      </c>
      <c r="D127" s="55">
        <v>13.15</v>
      </c>
      <c r="E127" s="56">
        <f>(PI()*(Pinus[[#This Row],[d_cm]]^2))/40000</f>
        <v>2.3751390792916546E-2</v>
      </c>
      <c r="F127" s="56">
        <f>Pinus[[#This Row],[gi_m²]]*Pinus[[#This Row],[h_m]]*0.45</f>
        <v>0.14054885501708367</v>
      </c>
    </row>
    <row r="128" spans="1:6" x14ac:dyDescent="0.3">
      <c r="A128" s="37">
        <v>2</v>
      </c>
      <c r="B128" s="37">
        <v>27</v>
      </c>
      <c r="C128" s="55">
        <v>20.94</v>
      </c>
      <c r="D128" s="55">
        <v>13.89</v>
      </c>
      <c r="E128" s="56">
        <f>(PI()*(Pinus[[#This Row],[d_cm]]^2))/40000</f>
        <v>3.443842141199014E-2</v>
      </c>
      <c r="F128" s="56">
        <f>Pinus[[#This Row],[gi_m²]]*Pinus[[#This Row],[h_m]]*0.45</f>
        <v>0.21525735303564439</v>
      </c>
    </row>
    <row r="129" spans="1:6" x14ac:dyDescent="0.3">
      <c r="A129" s="37">
        <v>2</v>
      </c>
      <c r="B129" s="37">
        <v>28</v>
      </c>
      <c r="C129" s="55">
        <v>20.309999999999999</v>
      </c>
      <c r="D129" s="55">
        <v>13.77</v>
      </c>
      <c r="E129" s="56">
        <f>(PI()*(Pinus[[#This Row],[d_cm]]^2))/40000</f>
        <v>3.2397367934861011E-2</v>
      </c>
      <c r="F129" s="56">
        <f>Pinus[[#This Row],[gi_m²]]*Pinus[[#This Row],[h_m]]*0.45</f>
        <v>0.20075029040836626</v>
      </c>
    </row>
    <row r="130" spans="1:6" x14ac:dyDescent="0.3">
      <c r="A130" s="37">
        <v>2</v>
      </c>
      <c r="B130" s="37">
        <v>29</v>
      </c>
      <c r="C130" s="55">
        <v>16.149999999999999</v>
      </c>
      <c r="D130" s="55">
        <v>12.85</v>
      </c>
      <c r="E130" s="56">
        <f>(PI()*(Pinus[[#This Row],[d_cm]]^2))/40000</f>
        <v>2.0484951247273092E-2</v>
      </c>
      <c r="F130" s="56">
        <f>Pinus[[#This Row],[gi_m²]]*Pinus[[#This Row],[h_m]]*0.45</f>
        <v>0.11845423058735664</v>
      </c>
    </row>
    <row r="131" spans="1:6" x14ac:dyDescent="0.3">
      <c r="A131" s="37">
        <v>2</v>
      </c>
      <c r="B131" s="37">
        <v>30</v>
      </c>
      <c r="C131" s="55">
        <v>19.71</v>
      </c>
      <c r="D131" s="55">
        <v>13.65</v>
      </c>
      <c r="E131" s="56">
        <f>(PI()*(Pinus[[#This Row],[d_cm]]^2))/40000</f>
        <v>3.0511469864911066E-2</v>
      </c>
      <c r="F131" s="56">
        <f>Pinus[[#This Row],[gi_m²]]*Pinus[[#This Row],[h_m]]*0.45</f>
        <v>0.18741670364521623</v>
      </c>
    </row>
    <row r="132" spans="1:6" x14ac:dyDescent="0.3">
      <c r="A132" s="37">
        <v>2</v>
      </c>
      <c r="B132" s="37">
        <v>31</v>
      </c>
      <c r="C132" s="55">
        <v>25.78</v>
      </c>
      <c r="D132" s="55">
        <v>14.72</v>
      </c>
      <c r="E132" s="56">
        <f>(PI()*(Pinus[[#This Row],[d_cm]]^2))/40000</f>
        <v>5.2198221673851672E-2</v>
      </c>
      <c r="F132" s="56">
        <f>Pinus[[#This Row],[gi_m²]]*Pinus[[#This Row],[h_m]]*0.45</f>
        <v>0.34576102036759349</v>
      </c>
    </row>
    <row r="133" spans="1:6" x14ac:dyDescent="0.3">
      <c r="A133" s="37">
        <v>2</v>
      </c>
      <c r="B133" s="37">
        <v>32</v>
      </c>
      <c r="C133" s="55">
        <v>21.81</v>
      </c>
      <c r="D133" s="55">
        <v>14.05</v>
      </c>
      <c r="E133" s="56">
        <f>(PI()*(Pinus[[#This Row],[d_cm]]^2))/40000</f>
        <v>3.735951353120609E-2</v>
      </c>
      <c r="F133" s="56">
        <f>Pinus[[#This Row],[gi_m²]]*Pinus[[#This Row],[h_m]]*0.45</f>
        <v>0.23620552430105055</v>
      </c>
    </row>
    <row r="134" spans="1:6" x14ac:dyDescent="0.3">
      <c r="A134" s="37">
        <v>2</v>
      </c>
      <c r="B134" s="37">
        <v>33</v>
      </c>
      <c r="C134" s="55">
        <v>20.16</v>
      </c>
      <c r="D134" s="55">
        <v>13.74</v>
      </c>
      <c r="E134" s="56">
        <f>(PI()*(Pinus[[#This Row],[d_cm]]^2))/40000</f>
        <v>3.1920591979770596E-2</v>
      </c>
      <c r="F134" s="56">
        <f>Pinus[[#This Row],[gi_m²]]*Pinus[[#This Row],[h_m]]*0.45</f>
        <v>0.19736502021092162</v>
      </c>
    </row>
    <row r="135" spans="1:6" x14ac:dyDescent="0.3">
      <c r="A135" s="37">
        <v>2</v>
      </c>
      <c r="B135" s="37">
        <v>34</v>
      </c>
      <c r="C135" s="55">
        <v>18.309999999999999</v>
      </c>
      <c r="D135" s="55">
        <v>13.35</v>
      </c>
      <c r="E135" s="56">
        <f>(PI()*(Pinus[[#This Row],[d_cm]]^2))/40000</f>
        <v>2.6330952520779122E-2</v>
      </c>
      <c r="F135" s="56">
        <f>Pinus[[#This Row],[gi_m²]]*Pinus[[#This Row],[h_m]]*0.45</f>
        <v>0.15818319726858057</v>
      </c>
    </row>
    <row r="136" spans="1:6" x14ac:dyDescent="0.3">
      <c r="A136" s="37">
        <v>2</v>
      </c>
      <c r="B136" s="37">
        <v>35</v>
      </c>
      <c r="C136" s="55">
        <v>11.79</v>
      </c>
      <c r="D136" s="55">
        <v>11.59</v>
      </c>
      <c r="E136" s="56">
        <f>(PI()*(Pinus[[#This Row],[d_cm]]^2))/40000</f>
        <v>1.0917356484471523E-2</v>
      </c>
      <c r="F136" s="56">
        <f>Pinus[[#This Row],[gi_m²]]*Pinus[[#This Row],[h_m]]*0.45</f>
        <v>5.693947274476123E-2</v>
      </c>
    </row>
    <row r="137" spans="1:6" x14ac:dyDescent="0.3">
      <c r="A137" s="37">
        <v>2</v>
      </c>
      <c r="B137" s="37">
        <v>36</v>
      </c>
      <c r="C137" s="55">
        <v>24.53</v>
      </c>
      <c r="D137" s="55">
        <v>14.52</v>
      </c>
      <c r="E137" s="56">
        <f>(PI()*(Pinus[[#This Row],[d_cm]]^2))/40000</f>
        <v>4.7259048973785966E-2</v>
      </c>
      <c r="F137" s="56">
        <f>Pinus[[#This Row],[gi_m²]]*Pinus[[#This Row],[h_m]]*0.45</f>
        <v>0.30879062599471746</v>
      </c>
    </row>
    <row r="138" spans="1:6" x14ac:dyDescent="0.3">
      <c r="A138" s="37">
        <v>2</v>
      </c>
      <c r="B138" s="37">
        <v>37</v>
      </c>
      <c r="C138" s="55">
        <v>14.16</v>
      </c>
      <c r="D138" s="55">
        <v>12.33</v>
      </c>
      <c r="E138" s="56">
        <f>(PI()*(Pinus[[#This Row],[d_cm]]^2))/40000</f>
        <v>1.5747672999090342E-2</v>
      </c>
      <c r="F138" s="56">
        <f>Pinus[[#This Row],[gi_m²]]*Pinus[[#This Row],[h_m]]*0.45</f>
        <v>8.7375963635452761E-2</v>
      </c>
    </row>
    <row r="139" spans="1:6" x14ac:dyDescent="0.3">
      <c r="A139" s="37">
        <v>2</v>
      </c>
      <c r="B139" s="37">
        <v>38</v>
      </c>
      <c r="C139" s="55">
        <v>22.96</v>
      </c>
      <c r="D139" s="55">
        <v>14.26</v>
      </c>
      <c r="E139" s="56">
        <f>(PI()*(Pinus[[#This Row],[d_cm]]^2))/40000</f>
        <v>4.1403175245366027E-2</v>
      </c>
      <c r="F139" s="56">
        <f>Pinus[[#This Row],[gi_m²]]*Pinus[[#This Row],[h_m]]*0.45</f>
        <v>0.26568417554951379</v>
      </c>
    </row>
    <row r="140" spans="1:6" x14ac:dyDescent="0.3">
      <c r="A140" s="37">
        <v>2</v>
      </c>
      <c r="B140" s="37">
        <v>39</v>
      </c>
      <c r="C140" s="55">
        <v>27.64</v>
      </c>
      <c r="D140" s="55">
        <v>15</v>
      </c>
      <c r="E140" s="56">
        <f>(PI()*(Pinus[[#This Row],[d_cm]]^2))/40000</f>
        <v>6.0002032073148324E-2</v>
      </c>
      <c r="F140" s="56">
        <f>Pinus[[#This Row],[gi_m²]]*Pinus[[#This Row],[h_m]]*0.45</f>
        <v>0.40501371649375117</v>
      </c>
    </row>
    <row r="141" spans="1:6" x14ac:dyDescent="0.3">
      <c r="A141" s="37">
        <v>2</v>
      </c>
      <c r="B141" s="37">
        <v>40</v>
      </c>
      <c r="C141" s="55">
        <v>14.22</v>
      </c>
      <c r="D141" s="55">
        <v>12.35</v>
      </c>
      <c r="E141" s="56">
        <f>(PI()*(Pinus[[#This Row],[d_cm]]^2))/40000</f>
        <v>1.588141059835366E-2</v>
      </c>
      <c r="F141" s="56">
        <f>Pinus[[#This Row],[gi_m²]]*Pinus[[#This Row],[h_m]]*0.45</f>
        <v>8.8260939400350472E-2</v>
      </c>
    </row>
    <row r="142" spans="1:6" x14ac:dyDescent="0.3">
      <c r="A142" s="37">
        <v>2</v>
      </c>
      <c r="B142" s="37">
        <v>41</v>
      </c>
      <c r="C142" s="55">
        <v>22.81</v>
      </c>
      <c r="D142" s="55">
        <v>14.23</v>
      </c>
      <c r="E142" s="56">
        <f>(PI()*(Pinus[[#This Row],[d_cm]]^2))/40000</f>
        <v>4.0863960136285502E-2</v>
      </c>
      <c r="F142" s="56">
        <f>Pinus[[#This Row],[gi_m²]]*Pinus[[#This Row],[h_m]]*0.45</f>
        <v>0.26167236873270422</v>
      </c>
    </row>
    <row r="143" spans="1:6" x14ac:dyDescent="0.3">
      <c r="A143" s="37">
        <v>2</v>
      </c>
      <c r="B143" s="37">
        <v>42</v>
      </c>
      <c r="C143" s="55">
        <v>18.95</v>
      </c>
      <c r="D143" s="55">
        <v>13.49</v>
      </c>
      <c r="E143" s="56">
        <f>(PI()*(Pinus[[#This Row],[d_cm]]^2))/40000</f>
        <v>2.8203844397143213E-2</v>
      </c>
      <c r="F143" s="56">
        <f>Pinus[[#This Row],[gi_m²]]*Pinus[[#This Row],[h_m]]*0.45</f>
        <v>0.17121143741285788</v>
      </c>
    </row>
    <row r="144" spans="1:6" x14ac:dyDescent="0.3">
      <c r="A144" s="37">
        <v>2</v>
      </c>
      <c r="B144" s="37">
        <v>43</v>
      </c>
      <c r="C144" s="55">
        <v>13.71</v>
      </c>
      <c r="D144" s="55">
        <v>12.2</v>
      </c>
      <c r="E144" s="56">
        <f>(PI()*(Pinus[[#This Row],[d_cm]]^2))/40000</f>
        <v>1.4762665892465433E-2</v>
      </c>
      <c r="F144" s="56">
        <f>Pinus[[#This Row],[gi_m²]]*Pinus[[#This Row],[h_m]]*0.45</f>
        <v>8.1047035749635218E-2</v>
      </c>
    </row>
    <row r="145" spans="1:6" x14ac:dyDescent="0.3">
      <c r="A145" s="37">
        <v>2</v>
      </c>
      <c r="B145" s="37">
        <v>44</v>
      </c>
      <c r="C145" s="55">
        <v>13.94</v>
      </c>
      <c r="D145" s="55">
        <v>12.27</v>
      </c>
      <c r="E145" s="56">
        <f>(PI()*(Pinus[[#This Row],[d_cm]]^2))/40000</f>
        <v>1.526213985447804E-2</v>
      </c>
      <c r="F145" s="56">
        <f>Pinus[[#This Row],[gi_m²]]*Pinus[[#This Row],[h_m]]*0.45</f>
        <v>8.4269905206500489E-2</v>
      </c>
    </row>
    <row r="146" spans="1:6" x14ac:dyDescent="0.3">
      <c r="A146" s="37">
        <v>2</v>
      </c>
      <c r="B146" s="37">
        <v>45</v>
      </c>
      <c r="C146" s="55">
        <v>13.59</v>
      </c>
      <c r="D146" s="55">
        <v>12.16</v>
      </c>
      <c r="E146" s="56">
        <f>(PI()*(Pinus[[#This Row],[d_cm]]^2))/40000</f>
        <v>1.4505369454136425E-2</v>
      </c>
      <c r="F146" s="56">
        <f>Pinus[[#This Row],[gi_m²]]*Pinus[[#This Row],[h_m]]*0.45</f>
        <v>7.9373381653034522E-2</v>
      </c>
    </row>
    <row r="147" spans="1:6" x14ac:dyDescent="0.3">
      <c r="A147" s="37">
        <v>2</v>
      </c>
      <c r="B147" s="37">
        <v>46</v>
      </c>
      <c r="C147" s="55">
        <v>17.88</v>
      </c>
      <c r="D147" s="55">
        <v>13.26</v>
      </c>
      <c r="E147" s="56">
        <f>(PI()*(Pinus[[#This Row],[d_cm]]^2))/40000</f>
        <v>2.5108739460844916E-2</v>
      </c>
      <c r="F147" s="56">
        <f>Pinus[[#This Row],[gi_m²]]*Pinus[[#This Row],[h_m]]*0.45</f>
        <v>0.14982384836286161</v>
      </c>
    </row>
    <row r="148" spans="1:6" x14ac:dyDescent="0.3">
      <c r="A148" s="37">
        <v>2</v>
      </c>
      <c r="B148" s="37">
        <v>47</v>
      </c>
      <c r="C148" s="55">
        <v>14.15</v>
      </c>
      <c r="D148" s="55">
        <v>12.33</v>
      </c>
      <c r="E148" s="56">
        <f>(PI()*(Pinus[[#This Row],[d_cm]]^2))/40000</f>
        <v>1.5725438377084559E-2</v>
      </c>
      <c r="F148" s="56">
        <f>Pinus[[#This Row],[gi_m²]]*Pinus[[#This Row],[h_m]]*0.45</f>
        <v>8.7252594835253675E-2</v>
      </c>
    </row>
    <row r="149" spans="1:6" x14ac:dyDescent="0.3">
      <c r="A149" s="37">
        <v>2</v>
      </c>
      <c r="B149" s="37">
        <v>48</v>
      </c>
      <c r="C149" s="55">
        <v>22.75</v>
      </c>
      <c r="D149" s="55">
        <v>14.22</v>
      </c>
      <c r="E149" s="56">
        <f>(PI()*(Pinus[[#This Row],[d_cm]]^2))/40000</f>
        <v>4.0649263694339181E-2</v>
      </c>
      <c r="F149" s="56">
        <f>Pinus[[#This Row],[gi_m²]]*Pinus[[#This Row],[h_m]]*0.45</f>
        <v>0.26011463838007642</v>
      </c>
    </row>
    <row r="150" spans="1:6" x14ac:dyDescent="0.3">
      <c r="A150" s="37">
        <v>2</v>
      </c>
      <c r="B150" s="37">
        <v>49</v>
      </c>
      <c r="C150" s="55">
        <v>28.4</v>
      </c>
      <c r="D150" s="55">
        <v>15.11</v>
      </c>
      <c r="E150" s="56">
        <f>(PI()*(Pinus[[#This Row],[d_cm]]^2))/40000</f>
        <v>6.334707426698459E-2</v>
      </c>
      <c r="F150" s="56">
        <f>Pinus[[#This Row],[gi_m²]]*Pinus[[#This Row],[h_m]]*0.45</f>
        <v>0.43072843147836171</v>
      </c>
    </row>
    <row r="151" spans="1:6" x14ac:dyDescent="0.3">
      <c r="A151" s="37">
        <v>2</v>
      </c>
      <c r="B151" s="37">
        <v>50</v>
      </c>
      <c r="C151" s="55">
        <v>14.85</v>
      </c>
      <c r="D151" s="55">
        <v>12.52</v>
      </c>
      <c r="E151" s="56">
        <f>(PI()*(Pinus[[#This Row],[d_cm]]^2))/40000</f>
        <v>1.7319796648781378E-2</v>
      </c>
      <c r="F151" s="56">
        <f>Pinus[[#This Row],[gi_m²]]*Pinus[[#This Row],[h_m]]*0.45</f>
        <v>9.7579734319234279E-2</v>
      </c>
    </row>
    <row r="152" spans="1:6" x14ac:dyDescent="0.3">
      <c r="A152" s="37">
        <v>2</v>
      </c>
      <c r="B152" s="37">
        <v>51</v>
      </c>
      <c r="C152" s="55">
        <v>23.15</v>
      </c>
      <c r="D152" s="55">
        <v>14.29</v>
      </c>
      <c r="E152" s="56">
        <f>(PI()*(Pinus[[#This Row],[d_cm]]^2))/40000</f>
        <v>4.2091254722336893E-2</v>
      </c>
      <c r="F152" s="56">
        <f>Pinus[[#This Row],[gi_m²]]*Pinus[[#This Row],[h_m]]*0.45</f>
        <v>0.27066781349198737</v>
      </c>
    </row>
    <row r="153" spans="1:6" x14ac:dyDescent="0.3">
      <c r="A153" s="37">
        <v>2</v>
      </c>
      <c r="B153" s="37">
        <v>52</v>
      </c>
      <c r="C153" s="55">
        <v>23.08</v>
      </c>
      <c r="D153" s="55">
        <v>14.28</v>
      </c>
      <c r="E153" s="56">
        <f>(PI()*(Pinus[[#This Row],[d_cm]]^2))/40000</f>
        <v>4.1837092022679843E-2</v>
      </c>
      <c r="F153" s="56">
        <f>Pinus[[#This Row],[gi_m²]]*Pinus[[#This Row],[h_m]]*0.45</f>
        <v>0.26884515333774067</v>
      </c>
    </row>
    <row r="154" spans="1:6" x14ac:dyDescent="0.3">
      <c r="A154" s="37">
        <v>2</v>
      </c>
      <c r="B154" s="37">
        <v>53</v>
      </c>
      <c r="C154" s="55">
        <v>21.33</v>
      </c>
      <c r="D154" s="55">
        <v>13.96</v>
      </c>
      <c r="E154" s="56">
        <f>(PI()*(Pinus[[#This Row],[d_cm]]^2))/40000</f>
        <v>3.5733173846295721E-2</v>
      </c>
      <c r="F154" s="56">
        <f>Pinus[[#This Row],[gi_m²]]*Pinus[[#This Row],[h_m]]*0.45</f>
        <v>0.22447579810242974</v>
      </c>
    </row>
    <row r="155" spans="1:6" x14ac:dyDescent="0.3">
      <c r="A155" s="37">
        <v>2</v>
      </c>
      <c r="B155" s="37">
        <v>54</v>
      </c>
      <c r="C155" s="55">
        <v>15.97</v>
      </c>
      <c r="D155" s="55">
        <v>12.81</v>
      </c>
      <c r="E155" s="56">
        <f>(PI()*(Pinus[[#This Row],[d_cm]]^2))/40000</f>
        <v>2.0030865445123228E-2</v>
      </c>
      <c r="F155" s="56">
        <f>Pinus[[#This Row],[gi_m²]]*Pinus[[#This Row],[h_m]]*0.45</f>
        <v>0.11546792385841285</v>
      </c>
    </row>
    <row r="156" spans="1:6" x14ac:dyDescent="0.3">
      <c r="A156" s="37">
        <v>2</v>
      </c>
      <c r="B156" s="37">
        <v>55</v>
      </c>
      <c r="C156" s="55">
        <v>19.52</v>
      </c>
      <c r="D156" s="55">
        <v>13.61</v>
      </c>
      <c r="E156" s="56">
        <f>(PI()*(Pinus[[#This Row],[d_cm]]^2))/40000</f>
        <v>2.9926057635859506E-2</v>
      </c>
      <c r="F156" s="56">
        <f>Pinus[[#This Row],[gi_m²]]*Pinus[[#This Row],[h_m]]*0.45</f>
        <v>0.18328213999082155</v>
      </c>
    </row>
    <row r="157" spans="1:6" x14ac:dyDescent="0.3">
      <c r="A157" s="37">
        <v>2</v>
      </c>
      <c r="B157" s="37">
        <v>56</v>
      </c>
      <c r="C157" s="55">
        <v>18.88</v>
      </c>
      <c r="D157" s="55">
        <v>13.48</v>
      </c>
      <c r="E157" s="56">
        <f>(PI()*(Pinus[[#This Row],[d_cm]]^2))/40000</f>
        <v>2.7995863109493934E-2</v>
      </c>
      <c r="F157" s="56">
        <f>Pinus[[#This Row],[gi_m²]]*Pinus[[#This Row],[h_m]]*0.45</f>
        <v>0.16982290562219021</v>
      </c>
    </row>
    <row r="158" spans="1:6" x14ac:dyDescent="0.3">
      <c r="A158" s="37">
        <v>2</v>
      </c>
      <c r="B158" s="37">
        <v>57</v>
      </c>
      <c r="C158" s="55">
        <v>22.25</v>
      </c>
      <c r="D158" s="55">
        <v>14.13</v>
      </c>
      <c r="E158" s="56">
        <f>(PI()*(Pinus[[#This Row],[d_cm]]^2))/40000</f>
        <v>3.8882117826694922E-2</v>
      </c>
      <c r="F158" s="56">
        <f>Pinus[[#This Row],[gi_m²]]*Pinus[[#This Row],[h_m]]*0.45</f>
        <v>0.24723194620103969</v>
      </c>
    </row>
    <row r="159" spans="1:6" x14ac:dyDescent="0.3">
      <c r="A159" s="37">
        <v>2</v>
      </c>
      <c r="B159" s="37">
        <v>58</v>
      </c>
      <c r="C159" s="55">
        <v>18.510000000000002</v>
      </c>
      <c r="D159" s="55">
        <v>13.4</v>
      </c>
      <c r="E159" s="56">
        <f>(PI()*(Pinus[[#This Row],[d_cm]]^2))/40000</f>
        <v>2.6909319728305008E-2</v>
      </c>
      <c r="F159" s="56">
        <f>Pinus[[#This Row],[gi_m²]]*Pinus[[#This Row],[h_m]]*0.45</f>
        <v>0.16226319796167921</v>
      </c>
    </row>
    <row r="160" spans="1:6" x14ac:dyDescent="0.3">
      <c r="A160" s="37">
        <v>2</v>
      </c>
      <c r="B160" s="37">
        <v>59</v>
      </c>
      <c r="C160" s="55">
        <v>23.91</v>
      </c>
      <c r="D160" s="55">
        <v>14.42</v>
      </c>
      <c r="E160" s="56">
        <f>(PI()*(Pinus[[#This Row],[d_cm]]^2))/40000</f>
        <v>4.4900278377617675E-2</v>
      </c>
      <c r="F160" s="56">
        <f>Pinus[[#This Row],[gi_m²]]*Pinus[[#This Row],[h_m]]*0.45</f>
        <v>0.29135790639236109</v>
      </c>
    </row>
    <row r="161" spans="1:6" x14ac:dyDescent="0.3">
      <c r="A161" s="37">
        <v>2</v>
      </c>
      <c r="B161" s="37">
        <v>60</v>
      </c>
      <c r="C161" s="55">
        <v>18.5</v>
      </c>
      <c r="D161" s="55">
        <v>13.4</v>
      </c>
      <c r="E161" s="56">
        <f>(PI()*(Pinus[[#This Row],[d_cm]]^2))/40000</f>
        <v>2.6880252142277669E-2</v>
      </c>
      <c r="F161" s="56">
        <f>Pinus[[#This Row],[gi_m²]]*Pinus[[#This Row],[h_m]]*0.45</f>
        <v>0.16208792041793435</v>
      </c>
    </row>
    <row r="162" spans="1:6" x14ac:dyDescent="0.3">
      <c r="A162" s="37">
        <v>2</v>
      </c>
      <c r="B162" s="37">
        <v>61</v>
      </c>
      <c r="C162" s="55">
        <v>24.21</v>
      </c>
      <c r="D162" s="55">
        <v>14.47</v>
      </c>
      <c r="E162" s="56">
        <f>(PI()*(Pinus[[#This Row],[d_cm]]^2))/40000</f>
        <v>4.6034079166298231E-2</v>
      </c>
      <c r="F162" s="56">
        <f>Pinus[[#This Row],[gi_m²]]*Pinus[[#This Row],[h_m]]*0.45</f>
        <v>0.29975090649135094</v>
      </c>
    </row>
    <row r="163" spans="1:6" x14ac:dyDescent="0.3">
      <c r="A163" s="37">
        <v>2</v>
      </c>
      <c r="B163" s="37">
        <v>62</v>
      </c>
      <c r="C163" s="55">
        <v>15.8</v>
      </c>
      <c r="D163" s="55">
        <v>12.77</v>
      </c>
      <c r="E163" s="56">
        <f>(PI()*(Pinus[[#This Row],[d_cm]]^2))/40000</f>
        <v>1.9606679751053901E-2</v>
      </c>
      <c r="F163" s="56">
        <f>Pinus[[#This Row],[gi_m²]]*Pinus[[#This Row],[h_m]]*0.45</f>
        <v>0.11266978518943123</v>
      </c>
    </row>
    <row r="164" spans="1:6" x14ac:dyDescent="0.3">
      <c r="A164" s="37">
        <v>2</v>
      </c>
      <c r="B164" s="37">
        <v>63</v>
      </c>
      <c r="C164" s="55">
        <v>14.96</v>
      </c>
      <c r="D164" s="55">
        <v>12.55</v>
      </c>
      <c r="E164" s="56">
        <f>(PI()*(Pinus[[#This Row],[d_cm]]^2))/40000</f>
        <v>1.757733656054104E-2</v>
      </c>
      <c r="F164" s="56">
        <f>Pinus[[#This Row],[gi_m²]]*Pinus[[#This Row],[h_m]]*0.45</f>
        <v>9.9268008225655527E-2</v>
      </c>
    </row>
    <row r="165" spans="1:6" x14ac:dyDescent="0.3">
      <c r="A165" s="37">
        <v>2</v>
      </c>
      <c r="B165" s="37">
        <v>64</v>
      </c>
      <c r="C165" s="55">
        <v>32.96</v>
      </c>
      <c r="D165" s="55">
        <v>15.71</v>
      </c>
      <c r="E165" s="56">
        <f>(PI()*(Pinus[[#This Row],[d_cm]]^2))/40000</f>
        <v>8.5322640542551328E-2</v>
      </c>
      <c r="F165" s="56">
        <f>Pinus[[#This Row],[gi_m²]]*Pinus[[#This Row],[h_m]]*0.45</f>
        <v>0.60318840731556667</v>
      </c>
    </row>
    <row r="166" spans="1:6" x14ac:dyDescent="0.3">
      <c r="A166" s="37">
        <v>2</v>
      </c>
      <c r="B166" s="37">
        <v>65</v>
      </c>
      <c r="C166" s="55">
        <v>18.329999999999998</v>
      </c>
      <c r="D166" s="55">
        <v>13.36</v>
      </c>
      <c r="E166" s="56">
        <f>(PI()*(Pinus[[#This Row],[d_cm]]^2))/40000</f>
        <v>2.6388506498192885E-2</v>
      </c>
      <c r="F166" s="56">
        <f>Pinus[[#This Row],[gi_m²]]*Pinus[[#This Row],[h_m]]*0.45</f>
        <v>0.15864770106713563</v>
      </c>
    </row>
    <row r="167" spans="1:6" x14ac:dyDescent="0.3">
      <c r="A167" s="37">
        <v>2</v>
      </c>
      <c r="B167" s="37">
        <v>66</v>
      </c>
      <c r="C167" s="55">
        <v>21.19</v>
      </c>
      <c r="D167" s="55">
        <v>13.94</v>
      </c>
      <c r="E167" s="56">
        <f>(PI()*(Pinus[[#This Row],[d_cm]]^2))/40000</f>
        <v>3.5265642027588501E-2</v>
      </c>
      <c r="F167" s="56">
        <f>Pinus[[#This Row],[gi_m²]]*Pinus[[#This Row],[h_m]]*0.45</f>
        <v>0.22122137243906267</v>
      </c>
    </row>
    <row r="168" spans="1:6" x14ac:dyDescent="0.3">
      <c r="A168" s="37">
        <v>2</v>
      </c>
      <c r="B168" s="37">
        <v>67</v>
      </c>
      <c r="C168" s="55">
        <v>22.55</v>
      </c>
      <c r="D168" s="55">
        <v>14.19</v>
      </c>
      <c r="E168" s="56">
        <f>(PI()*(Pinus[[#This Row],[d_cm]]^2))/40000</f>
        <v>3.9937692958301095E-2</v>
      </c>
      <c r="F168" s="56">
        <f>Pinus[[#This Row],[gi_m²]]*Pinus[[#This Row],[h_m]]*0.45</f>
        <v>0.25502213838523163</v>
      </c>
    </row>
    <row r="169" spans="1:6" x14ac:dyDescent="0.3">
      <c r="A169" s="37">
        <v>2</v>
      </c>
      <c r="B169" s="37">
        <v>68</v>
      </c>
      <c r="C169" s="55">
        <v>18.059999999999999</v>
      </c>
      <c r="D169" s="55">
        <v>13.3</v>
      </c>
      <c r="E169" s="56">
        <f>(PI()*(Pinus[[#This Row],[d_cm]]^2))/40000</f>
        <v>2.5616829240709994E-2</v>
      </c>
      <c r="F169" s="56">
        <f>Pinus[[#This Row],[gi_m²]]*Pinus[[#This Row],[h_m]]*0.45</f>
        <v>0.15331672300564933</v>
      </c>
    </row>
    <row r="170" spans="1:6" x14ac:dyDescent="0.3">
      <c r="A170" s="37">
        <v>2</v>
      </c>
      <c r="B170" s="37">
        <v>69</v>
      </c>
      <c r="C170" s="55">
        <v>22.07</v>
      </c>
      <c r="D170" s="55">
        <v>14.1</v>
      </c>
      <c r="E170" s="56">
        <f>(PI()*(Pinus[[#This Row],[d_cm]]^2))/40000</f>
        <v>3.8255558587862976E-2</v>
      </c>
      <c r="F170" s="56">
        <f>Pinus[[#This Row],[gi_m²]]*Pinus[[#This Row],[h_m]]*0.45</f>
        <v>0.24273151923999056</v>
      </c>
    </row>
    <row r="171" spans="1:6" x14ac:dyDescent="0.3">
      <c r="A171" s="37">
        <v>2</v>
      </c>
      <c r="B171" s="37">
        <v>70</v>
      </c>
      <c r="C171" s="55">
        <v>21.48</v>
      </c>
      <c r="D171" s="55">
        <v>13.99</v>
      </c>
      <c r="E171" s="56">
        <f>(PI()*(Pinus[[#This Row],[d_cm]]^2))/40000</f>
        <v>3.6237517276921406E-2</v>
      </c>
      <c r="F171" s="56">
        <f>Pinus[[#This Row],[gi_m²]]*Pinus[[#This Row],[h_m]]*0.45</f>
        <v>0.22813329001685873</v>
      </c>
    </row>
    <row r="172" spans="1:6" x14ac:dyDescent="0.3">
      <c r="A172" s="37">
        <v>2</v>
      </c>
      <c r="B172" s="37">
        <v>71</v>
      </c>
      <c r="C172" s="55">
        <v>19.14</v>
      </c>
      <c r="D172" s="55">
        <v>13.53</v>
      </c>
      <c r="E172" s="56">
        <f>(PI()*(Pinus[[#This Row],[d_cm]]^2))/40000</f>
        <v>2.8772244901975587E-2</v>
      </c>
      <c r="F172" s="56">
        <f>Pinus[[#This Row],[gi_m²]]*Pinus[[#This Row],[h_m]]*0.45</f>
        <v>0.17517981308567837</v>
      </c>
    </row>
    <row r="173" spans="1:6" x14ac:dyDescent="0.3">
      <c r="A173" s="37">
        <v>2</v>
      </c>
      <c r="B173" s="37">
        <v>72</v>
      </c>
      <c r="C173" s="55">
        <v>20.260000000000002</v>
      </c>
      <c r="D173" s="55">
        <v>13.76</v>
      </c>
      <c r="E173" s="56">
        <f>(PI()*(Pinus[[#This Row],[d_cm]]^2))/40000</f>
        <v>3.2238049917415849E-2</v>
      </c>
      <c r="F173" s="56">
        <f>Pinus[[#This Row],[gi_m²]]*Pinus[[#This Row],[h_m]]*0.45</f>
        <v>0.19961800508863894</v>
      </c>
    </row>
    <row r="174" spans="1:6" x14ac:dyDescent="0.3">
      <c r="A174" s="37">
        <v>2</v>
      </c>
      <c r="B174" s="37">
        <v>73</v>
      </c>
      <c r="C174" s="55">
        <v>19.86</v>
      </c>
      <c r="D174" s="55">
        <v>13.68</v>
      </c>
      <c r="E174" s="56">
        <f>(PI()*(Pinus[[#This Row],[d_cm]]^2))/40000</f>
        <v>3.0977642944795623E-2</v>
      </c>
      <c r="F174" s="56">
        <f>Pinus[[#This Row],[gi_m²]]*Pinus[[#This Row],[h_m]]*0.45</f>
        <v>0.19069836996816186</v>
      </c>
    </row>
    <row r="175" spans="1:6" x14ac:dyDescent="0.3">
      <c r="A175" s="37">
        <v>2</v>
      </c>
      <c r="B175" s="37">
        <v>74</v>
      </c>
      <c r="C175" s="55">
        <v>28.51</v>
      </c>
      <c r="D175" s="55">
        <v>15.13</v>
      </c>
      <c r="E175" s="56">
        <f>(PI()*(Pinus[[#This Row],[d_cm]]^2))/40000</f>
        <v>6.3838741371253033E-2</v>
      </c>
      <c r="F175" s="56">
        <f>Pinus[[#This Row],[gi_m²]]*Pinus[[#This Row],[h_m]]*0.45</f>
        <v>0.43464607062617627</v>
      </c>
    </row>
    <row r="176" spans="1:6" x14ac:dyDescent="0.3">
      <c r="A176" s="37">
        <v>2</v>
      </c>
      <c r="B176" s="37">
        <v>75</v>
      </c>
      <c r="C176" s="55">
        <v>17.03</v>
      </c>
      <c r="D176" s="55">
        <v>13.07</v>
      </c>
      <c r="E176" s="56">
        <f>(PI()*(Pinus[[#This Row],[d_cm]]^2))/40000</f>
        <v>2.2778188220687501E-2</v>
      </c>
      <c r="F176" s="56">
        <f>Pinus[[#This Row],[gi_m²]]*Pinus[[#This Row],[h_m]]*0.45</f>
        <v>0.13396991401997355</v>
      </c>
    </row>
    <row r="177" spans="1:6" x14ac:dyDescent="0.3">
      <c r="A177" s="37">
        <v>2</v>
      </c>
      <c r="B177" s="37">
        <v>76</v>
      </c>
      <c r="C177" s="55">
        <v>15.62</v>
      </c>
      <c r="D177" s="55">
        <v>12.72</v>
      </c>
      <c r="E177" s="56">
        <f>(PI()*(Pinus[[#This Row],[d_cm]]^2))/40000</f>
        <v>1.9162489965762836E-2</v>
      </c>
      <c r="F177" s="56">
        <f>Pinus[[#This Row],[gi_m²]]*Pinus[[#This Row],[h_m]]*0.45</f>
        <v>0.10968609256402648</v>
      </c>
    </row>
    <row r="178" spans="1:6" x14ac:dyDescent="0.3">
      <c r="A178" s="37">
        <v>2</v>
      </c>
      <c r="B178" s="37">
        <v>77</v>
      </c>
      <c r="C178" s="55">
        <v>20.149999999999999</v>
      </c>
      <c r="D178" s="55">
        <v>13.74</v>
      </c>
      <c r="E178" s="56">
        <f>(PI()*(Pinus[[#This Row],[d_cm]]^2))/40000</f>
        <v>3.188893257980404E-2</v>
      </c>
      <c r="F178" s="56">
        <f>Pinus[[#This Row],[gi_m²]]*Pinus[[#This Row],[h_m]]*0.45</f>
        <v>0.19716927014092839</v>
      </c>
    </row>
    <row r="179" spans="1:6" x14ac:dyDescent="0.3">
      <c r="A179" s="37">
        <v>2</v>
      </c>
      <c r="B179" s="37">
        <v>78</v>
      </c>
      <c r="C179" s="55">
        <v>21.24</v>
      </c>
      <c r="D179" s="55">
        <v>13.95</v>
      </c>
      <c r="E179" s="56">
        <f>(PI()*(Pinus[[#This Row],[d_cm]]^2))/40000</f>
        <v>3.543226424795326E-2</v>
      </c>
      <c r="F179" s="56">
        <f>Pinus[[#This Row],[gi_m²]]*Pinus[[#This Row],[h_m]]*0.45</f>
        <v>0.22242603881652656</v>
      </c>
    </row>
    <row r="180" spans="1:6" x14ac:dyDescent="0.3">
      <c r="A180" s="37">
        <v>2</v>
      </c>
      <c r="B180" s="37">
        <v>79</v>
      </c>
      <c r="C180" s="55">
        <v>21.75</v>
      </c>
      <c r="D180" s="55">
        <v>14.04</v>
      </c>
      <c r="E180" s="56">
        <f>(PI()*(Pinus[[#This Row],[d_cm]]^2))/40000</f>
        <v>3.7154241867220536E-2</v>
      </c>
      <c r="F180" s="56">
        <f>Pinus[[#This Row],[gi_m²]]*Pinus[[#This Row],[h_m]]*0.45</f>
        <v>0.23474050011709935</v>
      </c>
    </row>
    <row r="181" spans="1:6" x14ac:dyDescent="0.3">
      <c r="A181" s="37">
        <v>2</v>
      </c>
      <c r="B181" s="37">
        <v>80</v>
      </c>
      <c r="C181" s="55">
        <v>18.170000000000002</v>
      </c>
      <c r="D181" s="55">
        <v>13.32</v>
      </c>
      <c r="E181" s="56">
        <f>(PI()*(Pinus[[#This Row],[d_cm]]^2))/40000</f>
        <v>2.5929833970768788E-2</v>
      </c>
      <c r="F181" s="56">
        <f>Pinus[[#This Row],[gi_m²]]*Pinus[[#This Row],[h_m]]*0.45</f>
        <v>0.15542342482078814</v>
      </c>
    </row>
    <row r="182" spans="1:6" x14ac:dyDescent="0.3">
      <c r="A182" s="37">
        <v>2</v>
      </c>
      <c r="B182" s="37">
        <v>81</v>
      </c>
      <c r="C182" s="55">
        <v>15.75</v>
      </c>
      <c r="D182" s="55">
        <v>12.75</v>
      </c>
      <c r="E182" s="56">
        <f>(PI()*(Pinus[[#This Row],[d_cm]]^2))/40000</f>
        <v>1.9482783190777953E-2</v>
      </c>
      <c r="F182" s="56">
        <f>Pinus[[#This Row],[gi_m²]]*Pinus[[#This Row],[h_m]]*0.45</f>
        <v>0.1117824685570885</v>
      </c>
    </row>
    <row r="183" spans="1:6" x14ac:dyDescent="0.3">
      <c r="A183" s="37">
        <v>2</v>
      </c>
      <c r="B183" s="37">
        <v>82</v>
      </c>
      <c r="C183" s="55">
        <v>25.05</v>
      </c>
      <c r="D183" s="55">
        <v>14.61</v>
      </c>
      <c r="E183" s="56">
        <f>(PI()*(Pinus[[#This Row],[d_cm]]^2))/40000</f>
        <v>4.928393110273073E-2</v>
      </c>
      <c r="F183" s="56">
        <f>Pinus[[#This Row],[gi_m²]]*Pinus[[#This Row],[h_m]]*0.45</f>
        <v>0.32401720503490317</v>
      </c>
    </row>
    <row r="184" spans="1:6" x14ac:dyDescent="0.3">
      <c r="A184" s="37">
        <v>2</v>
      </c>
      <c r="B184" s="37">
        <v>83</v>
      </c>
      <c r="C184" s="55">
        <v>18.600000000000001</v>
      </c>
      <c r="D184" s="55">
        <v>13.42</v>
      </c>
      <c r="E184" s="56">
        <f>(PI()*(Pinus[[#This Row],[d_cm]]^2))/40000</f>
        <v>2.717163486089812E-2</v>
      </c>
      <c r="F184" s="56">
        <f>Pinus[[#This Row],[gi_m²]]*Pinus[[#This Row],[h_m]]*0.45</f>
        <v>0.16408950292496374</v>
      </c>
    </row>
    <row r="185" spans="1:6" x14ac:dyDescent="0.3">
      <c r="A185" s="37">
        <v>2</v>
      </c>
      <c r="B185" s="37">
        <v>84</v>
      </c>
      <c r="C185" s="55">
        <v>16.54</v>
      </c>
      <c r="D185" s="55">
        <v>12.95</v>
      </c>
      <c r="E185" s="56">
        <f>(PI()*(Pinus[[#This Row],[d_cm]]^2))/40000</f>
        <v>2.1486263219770135E-2</v>
      </c>
      <c r="F185" s="56">
        <f>Pinus[[#This Row],[gi_m²]]*Pinus[[#This Row],[h_m]]*0.45</f>
        <v>0.12521119891321045</v>
      </c>
    </row>
    <row r="186" spans="1:6" x14ac:dyDescent="0.3">
      <c r="A186" s="37">
        <v>2</v>
      </c>
      <c r="B186" s="37">
        <v>85</v>
      </c>
      <c r="C186" s="55">
        <v>19.05</v>
      </c>
      <c r="D186" s="55">
        <v>13.51</v>
      </c>
      <c r="E186" s="56">
        <f>(PI()*(Pinus[[#This Row],[d_cm]]^2))/40000</f>
        <v>2.8502295699234247E-2</v>
      </c>
      <c r="F186" s="56">
        <f>Pinus[[#This Row],[gi_m²]]*Pinus[[#This Row],[h_m]]*0.45</f>
        <v>0.1732797067034946</v>
      </c>
    </row>
    <row r="187" spans="1:6" x14ac:dyDescent="0.3">
      <c r="A187" s="37">
        <v>2</v>
      </c>
      <c r="B187" s="37">
        <v>86</v>
      </c>
      <c r="C187" s="55">
        <v>19.21</v>
      </c>
      <c r="D187" s="55">
        <v>13.55</v>
      </c>
      <c r="E187" s="56">
        <f>(PI()*(Pinus[[#This Row],[d_cm]]^2))/40000</f>
        <v>2.8983085038939635E-2</v>
      </c>
      <c r="F187" s="56">
        <f>Pinus[[#This Row],[gi_m²]]*Pinus[[#This Row],[h_m]]*0.45</f>
        <v>0.17672436102493444</v>
      </c>
    </row>
    <row r="188" spans="1:6" x14ac:dyDescent="0.3">
      <c r="A188" s="37">
        <v>2</v>
      </c>
      <c r="B188" s="37">
        <v>87</v>
      </c>
      <c r="C188" s="55">
        <v>24.44</v>
      </c>
      <c r="D188" s="55">
        <v>14.51</v>
      </c>
      <c r="E188" s="56">
        <f>(PI()*(Pinus[[#This Row],[d_cm]]^2))/40000</f>
        <v>4.6912900441231815E-2</v>
      </c>
      <c r="F188" s="56">
        <f>Pinus[[#This Row],[gi_m²]]*Pinus[[#This Row],[h_m]]*0.45</f>
        <v>0.30631778343102317</v>
      </c>
    </row>
    <row r="189" spans="1:6" x14ac:dyDescent="0.3">
      <c r="A189" s="37">
        <v>2</v>
      </c>
      <c r="B189" s="37">
        <v>88</v>
      </c>
      <c r="C189" s="55">
        <v>20.34</v>
      </c>
      <c r="D189" s="55">
        <v>13.77</v>
      </c>
      <c r="E189" s="56">
        <f>(PI()*(Pinus[[#This Row],[d_cm]]^2))/40000</f>
        <v>3.2493147240887331E-2</v>
      </c>
      <c r="F189" s="56">
        <f>Pinus[[#This Row],[gi_m²]]*Pinus[[#This Row],[h_m]]*0.45</f>
        <v>0.20134378687815835</v>
      </c>
    </row>
    <row r="190" spans="1:6" x14ac:dyDescent="0.3">
      <c r="A190" s="37">
        <v>2</v>
      </c>
      <c r="B190" s="37">
        <v>89</v>
      </c>
      <c r="C190" s="55">
        <v>23.02</v>
      </c>
      <c r="D190" s="55">
        <v>14.27</v>
      </c>
      <c r="E190" s="56">
        <f>(PI()*(Pinus[[#This Row],[d_cm]]^2))/40000</f>
        <v>4.1619850890684117E-2</v>
      </c>
      <c r="F190" s="56">
        <f>Pinus[[#This Row],[gi_m²]]*Pinus[[#This Row],[h_m]]*0.45</f>
        <v>0.26726187249452804</v>
      </c>
    </row>
    <row r="191" spans="1:6" x14ac:dyDescent="0.3">
      <c r="A191" s="37">
        <v>2</v>
      </c>
      <c r="B191" s="37">
        <v>90</v>
      </c>
      <c r="C191" s="55">
        <v>18</v>
      </c>
      <c r="D191" s="55">
        <v>13.29</v>
      </c>
      <c r="E191" s="56">
        <f>(PI()*(Pinus[[#This Row],[d_cm]]^2))/40000</f>
        <v>2.5446900494077322E-2</v>
      </c>
      <c r="F191" s="56">
        <f>Pinus[[#This Row],[gi_m²]]*Pinus[[#This Row],[h_m]]*0.45</f>
        <v>0.15218518840482942</v>
      </c>
    </row>
    <row r="192" spans="1:6" x14ac:dyDescent="0.3">
      <c r="A192" s="37">
        <v>2</v>
      </c>
      <c r="B192" s="37">
        <v>91</v>
      </c>
      <c r="C192" s="55">
        <v>20.86</v>
      </c>
      <c r="D192" s="55">
        <v>13.88</v>
      </c>
      <c r="E192" s="56">
        <f>(PI()*(Pinus[[#This Row],[d_cm]]^2))/40000</f>
        <v>3.4175784266150026E-2</v>
      </c>
      <c r="F192" s="56">
        <f>Pinus[[#This Row],[gi_m²]]*Pinus[[#This Row],[h_m]]*0.45</f>
        <v>0.21346194852637307</v>
      </c>
    </row>
    <row r="193" spans="1:6" x14ac:dyDescent="0.3">
      <c r="A193" s="37">
        <v>2</v>
      </c>
      <c r="B193" s="37">
        <v>92</v>
      </c>
      <c r="C193" s="55">
        <v>18.7</v>
      </c>
      <c r="D193" s="55">
        <v>13.44</v>
      </c>
      <c r="E193" s="56">
        <f>(PI()*(Pinus[[#This Row],[d_cm]]^2))/40000</f>
        <v>2.746458837584537E-2</v>
      </c>
      <c r="F193" s="56">
        <f>Pinus[[#This Row],[gi_m²]]*Pinus[[#This Row],[h_m]]*0.45</f>
        <v>0.16610583049711281</v>
      </c>
    </row>
    <row r="194" spans="1:6" x14ac:dyDescent="0.3">
      <c r="A194" s="37">
        <v>2</v>
      </c>
      <c r="B194" s="37">
        <v>93</v>
      </c>
      <c r="C194" s="55">
        <v>20.38</v>
      </c>
      <c r="D194" s="55">
        <v>13.78</v>
      </c>
      <c r="E194" s="56">
        <f>(PI()*(Pinus[[#This Row],[d_cm]]^2))/40000</f>
        <v>3.2621072893741505E-2</v>
      </c>
      <c r="F194" s="56">
        <f>Pinus[[#This Row],[gi_m²]]*Pinus[[#This Row],[h_m]]*0.45</f>
        <v>0.20228327301409108</v>
      </c>
    </row>
    <row r="195" spans="1:6" x14ac:dyDescent="0.3">
      <c r="A195" s="37">
        <v>2</v>
      </c>
      <c r="B195" s="37">
        <v>94</v>
      </c>
      <c r="C195" s="55">
        <v>16.420000000000002</v>
      </c>
      <c r="D195" s="55">
        <v>12.92</v>
      </c>
      <c r="E195" s="56">
        <f>(PI()*(Pinus[[#This Row],[d_cm]]^2))/40000</f>
        <v>2.1175622538183184E-2</v>
      </c>
      <c r="F195" s="56">
        <f>Pinus[[#This Row],[gi_m²]]*Pinus[[#This Row],[h_m]]*0.45</f>
        <v>0.12311506943699703</v>
      </c>
    </row>
    <row r="196" spans="1:6" x14ac:dyDescent="0.3">
      <c r="A196" s="37">
        <v>2</v>
      </c>
      <c r="B196" s="37">
        <v>95</v>
      </c>
      <c r="C196" s="55">
        <v>14.76</v>
      </c>
      <c r="D196" s="55">
        <v>12.49</v>
      </c>
      <c r="E196" s="56">
        <f>(PI()*(Pinus[[#This Row],[d_cm]]^2))/40000</f>
        <v>1.7110495892217591E-2</v>
      </c>
      <c r="F196" s="56">
        <f>Pinus[[#This Row],[gi_m²]]*Pinus[[#This Row],[h_m]]*0.45</f>
        <v>9.6169542162208979E-2</v>
      </c>
    </row>
    <row r="197" spans="1:6" x14ac:dyDescent="0.3">
      <c r="A197" s="37">
        <v>2</v>
      </c>
      <c r="B197" s="37">
        <v>96</v>
      </c>
      <c r="C197" s="55">
        <v>27.99</v>
      </c>
      <c r="D197" s="55">
        <v>15.05</v>
      </c>
      <c r="E197" s="56">
        <f>(PI()*(Pinus[[#This Row],[d_cm]]^2))/40000</f>
        <v>6.1531241567191315E-2</v>
      </c>
      <c r="F197" s="56">
        <f>Pinus[[#This Row],[gi_m²]]*Pinus[[#This Row],[h_m]]*0.45</f>
        <v>0.41672033351380322</v>
      </c>
    </row>
    <row r="198" spans="1:6" x14ac:dyDescent="0.3">
      <c r="A198" s="37">
        <v>2</v>
      </c>
      <c r="B198" s="37">
        <v>97</v>
      </c>
      <c r="C198" s="55">
        <v>22.4</v>
      </c>
      <c r="D198" s="55">
        <v>14.16</v>
      </c>
      <c r="E198" s="56">
        <f>(PI()*(Pinus[[#This Row],[d_cm]]^2))/40000</f>
        <v>3.9408138246630357E-2</v>
      </c>
      <c r="F198" s="56">
        <f>Pinus[[#This Row],[gi_m²]]*Pinus[[#This Row],[h_m]]*0.45</f>
        <v>0.25110865690752865</v>
      </c>
    </row>
    <row r="199" spans="1:6" x14ac:dyDescent="0.3">
      <c r="A199" s="37">
        <v>2</v>
      </c>
      <c r="B199" s="37">
        <v>98</v>
      </c>
      <c r="C199" s="55">
        <v>14.99</v>
      </c>
      <c r="D199" s="55">
        <v>12.56</v>
      </c>
      <c r="E199" s="56">
        <f>(PI()*(Pinus[[#This Row],[d_cm]]^2))/40000</f>
        <v>1.7647904585522296E-2</v>
      </c>
      <c r="F199" s="56">
        <f>Pinus[[#This Row],[gi_m²]]*Pinus[[#This Row],[h_m]]*0.45</f>
        <v>9.974595671737202E-2</v>
      </c>
    </row>
    <row r="200" spans="1:6" x14ac:dyDescent="0.3">
      <c r="A200" s="37">
        <v>2</v>
      </c>
      <c r="B200" s="37">
        <v>99</v>
      </c>
      <c r="C200" s="55">
        <v>17.559999999999999</v>
      </c>
      <c r="D200" s="55">
        <v>13.19</v>
      </c>
      <c r="E200" s="56">
        <f>(PI()*(Pinus[[#This Row],[d_cm]]^2))/40000</f>
        <v>2.4218035111699138E-2</v>
      </c>
      <c r="F200" s="56">
        <f>Pinus[[#This Row],[gi_m²]]*Pinus[[#This Row],[h_m]]*0.45</f>
        <v>0.14374614740549024</v>
      </c>
    </row>
    <row r="201" spans="1:6" x14ac:dyDescent="0.3">
      <c r="A201" s="37">
        <v>2</v>
      </c>
      <c r="B201" s="37">
        <v>100</v>
      </c>
      <c r="C201" s="55">
        <v>15.26</v>
      </c>
      <c r="D201" s="55">
        <v>12.63</v>
      </c>
      <c r="E201" s="56">
        <f>(PI()*(Pinus[[#This Row],[d_cm]]^2))/40000</f>
        <v>1.8289378535477161E-2</v>
      </c>
      <c r="F201" s="56">
        <f>Pinus[[#This Row],[gi_m²]]*Pinus[[#This Row],[h_m]]*0.45</f>
        <v>0.10394768290638445</v>
      </c>
    </row>
    <row r="202" spans="1:6" x14ac:dyDescent="0.3">
      <c r="A202" s="37">
        <v>3</v>
      </c>
      <c r="B202" s="37">
        <v>1</v>
      </c>
      <c r="C202" s="55">
        <v>28.8</v>
      </c>
      <c r="D202" s="55">
        <v>17.05</v>
      </c>
      <c r="E202" s="56">
        <f>(PI()*(Pinus[[#This Row],[d_cm]]^2))/40000</f>
        <v>6.5144065264837958E-2</v>
      </c>
      <c r="F202" s="56">
        <f>Pinus[[#This Row],[gi_m²]]*Pinus[[#This Row],[h_m]]*0.45</f>
        <v>0.49981784074446928</v>
      </c>
    </row>
    <row r="203" spans="1:6" x14ac:dyDescent="0.3">
      <c r="A203" s="37">
        <v>3</v>
      </c>
      <c r="B203" s="37">
        <v>2</v>
      </c>
      <c r="C203" s="55">
        <v>25.25</v>
      </c>
      <c r="D203" s="55">
        <v>16.45</v>
      </c>
      <c r="E203" s="56">
        <f>(PI()*(Pinus[[#This Row],[d_cm]]^2))/40000</f>
        <v>5.0074041655108564E-2</v>
      </c>
      <c r="F203" s="56">
        <f>Pinus[[#This Row],[gi_m²]]*Pinus[[#This Row],[h_m]]*0.45</f>
        <v>0.37067309335194115</v>
      </c>
    </row>
    <row r="204" spans="1:6" x14ac:dyDescent="0.3">
      <c r="A204" s="37">
        <v>3</v>
      </c>
      <c r="B204" s="37">
        <v>3</v>
      </c>
      <c r="C204" s="55">
        <v>18.940000000000001</v>
      </c>
      <c r="D204" s="55">
        <v>15.16</v>
      </c>
      <c r="E204" s="56">
        <f>(PI()*(Pinus[[#This Row],[d_cm]]^2))/40000</f>
        <v>2.8174085660732089E-2</v>
      </c>
      <c r="F204" s="56">
        <f>Pinus[[#This Row],[gi_m²]]*Pinus[[#This Row],[h_m]]*0.45</f>
        <v>0.19220361237751432</v>
      </c>
    </row>
    <row r="205" spans="1:6" x14ac:dyDescent="0.3">
      <c r="A205" s="37">
        <v>3</v>
      </c>
      <c r="B205" s="37">
        <v>4</v>
      </c>
      <c r="C205" s="55">
        <v>22.17</v>
      </c>
      <c r="D205" s="55">
        <v>15.87</v>
      </c>
      <c r="E205" s="56">
        <f>(PI()*(Pinus[[#This Row],[d_cm]]^2))/40000</f>
        <v>3.8603018735350013E-2</v>
      </c>
      <c r="F205" s="56">
        <f>Pinus[[#This Row],[gi_m²]]*Pinus[[#This Row],[h_m]]*0.45</f>
        <v>0.2756834582985021</v>
      </c>
    </row>
    <row r="206" spans="1:6" x14ac:dyDescent="0.3">
      <c r="A206" s="37">
        <v>3</v>
      </c>
      <c r="B206" s="37">
        <v>5</v>
      </c>
      <c r="C206" s="55">
        <v>18.34</v>
      </c>
      <c r="D206" s="55">
        <v>15.02</v>
      </c>
      <c r="E206" s="56">
        <f>(PI()*(Pinus[[#This Row],[d_cm]]^2))/40000</f>
        <v>2.6417307048844672E-2</v>
      </c>
      <c r="F206" s="56">
        <f>Pinus[[#This Row],[gi_m²]]*Pinus[[#This Row],[h_m]]*0.45</f>
        <v>0.17855457834314115</v>
      </c>
    </row>
    <row r="207" spans="1:6" x14ac:dyDescent="0.3">
      <c r="A207" s="37">
        <v>3</v>
      </c>
      <c r="B207" s="37">
        <v>6</v>
      </c>
      <c r="C207" s="55">
        <v>18.100000000000001</v>
      </c>
      <c r="D207" s="55">
        <v>14.96</v>
      </c>
      <c r="E207" s="56">
        <f>(PI()*(Pinus[[#This Row],[d_cm]]^2))/40000</f>
        <v>2.5730429231063806E-2</v>
      </c>
      <c r="F207" s="56">
        <f>Pinus[[#This Row],[gi_m²]]*Pinus[[#This Row],[h_m]]*0.45</f>
        <v>0.17321724958352155</v>
      </c>
    </row>
    <row r="208" spans="1:6" x14ac:dyDescent="0.3">
      <c r="A208" s="37">
        <v>3</v>
      </c>
      <c r="B208" s="37">
        <v>7</v>
      </c>
      <c r="C208" s="55">
        <v>16.850000000000001</v>
      </c>
      <c r="D208" s="55">
        <v>14.64</v>
      </c>
      <c r="E208" s="56">
        <f>(PI()*(Pinus[[#This Row],[d_cm]]^2))/40000</f>
        <v>2.2299221004721207E-2</v>
      </c>
      <c r="F208" s="56">
        <f>Pinus[[#This Row],[gi_m²]]*Pinus[[#This Row],[h_m]]*0.45</f>
        <v>0.14690726797910333</v>
      </c>
    </row>
    <row r="209" spans="1:6" x14ac:dyDescent="0.3">
      <c r="A209" s="37">
        <v>3</v>
      </c>
      <c r="B209" s="37">
        <v>8</v>
      </c>
      <c r="C209" s="55">
        <v>17.62</v>
      </c>
      <c r="D209" s="55">
        <v>14.84</v>
      </c>
      <c r="E209" s="56">
        <f>(PI()*(Pinus[[#This Row],[d_cm]]^2))/40000</f>
        <v>2.4383816956029074E-2</v>
      </c>
      <c r="F209" s="56">
        <f>Pinus[[#This Row],[gi_m²]]*Pinus[[#This Row],[h_m]]*0.45</f>
        <v>0.16283512963236216</v>
      </c>
    </row>
    <row r="210" spans="1:6" x14ac:dyDescent="0.3">
      <c r="A210" s="37">
        <v>3</v>
      </c>
      <c r="B210" s="37">
        <v>9</v>
      </c>
      <c r="C210" s="55">
        <v>26.6</v>
      </c>
      <c r="D210" s="55">
        <v>16.690000000000001</v>
      </c>
      <c r="E210" s="56">
        <f>(PI()*(Pinus[[#This Row],[d_cm]]^2))/40000</f>
        <v>5.5571632449349852E-2</v>
      </c>
      <c r="F210" s="56">
        <f>Pinus[[#This Row],[gi_m²]]*Pinus[[#This Row],[h_m]]*0.45</f>
        <v>0.41737074551084208</v>
      </c>
    </row>
    <row r="211" spans="1:6" x14ac:dyDescent="0.3">
      <c r="A211" s="37">
        <v>3</v>
      </c>
      <c r="B211" s="37">
        <v>10</v>
      </c>
      <c r="C211" s="55">
        <v>19.78</v>
      </c>
      <c r="D211" s="55">
        <v>15.36</v>
      </c>
      <c r="E211" s="56">
        <f>(PI()*(Pinus[[#This Row],[d_cm]]^2))/40000</f>
        <v>3.0728577479219026E-2</v>
      </c>
      <c r="F211" s="56">
        <f>Pinus[[#This Row],[gi_m²]]*Pinus[[#This Row],[h_m]]*0.45</f>
        <v>0.21239592753636191</v>
      </c>
    </row>
    <row r="212" spans="1:6" x14ac:dyDescent="0.3">
      <c r="A212" s="37">
        <v>3</v>
      </c>
      <c r="B212" s="37">
        <v>11</v>
      </c>
      <c r="C212" s="55">
        <v>20.48</v>
      </c>
      <c r="D212" s="55">
        <v>15.51</v>
      </c>
      <c r="E212" s="56">
        <f>(PI()*(Pinus[[#This Row],[d_cm]]^2))/40000</f>
        <v>3.2941986583305709E-2</v>
      </c>
      <c r="F212" s="56">
        <f>Pinus[[#This Row],[gi_m²]]*Pinus[[#This Row],[h_m]]*0.45</f>
        <v>0.22991859535818221</v>
      </c>
    </row>
    <row r="213" spans="1:6" x14ac:dyDescent="0.3">
      <c r="A213" s="37">
        <v>3</v>
      </c>
      <c r="B213" s="37">
        <v>12</v>
      </c>
      <c r="C213" s="55">
        <v>20.97</v>
      </c>
      <c r="D213" s="55">
        <v>15.62</v>
      </c>
      <c r="E213" s="56">
        <f>(PI()*(Pinus[[#This Row],[d_cm]]^2))/40000</f>
        <v>3.4537169523074097E-2</v>
      </c>
      <c r="F213" s="56">
        <f>Pinus[[#This Row],[gi_m²]]*Pinus[[#This Row],[h_m]]*0.45</f>
        <v>0.24276176457768781</v>
      </c>
    </row>
    <row r="214" spans="1:6" x14ac:dyDescent="0.3">
      <c r="A214" s="37">
        <v>3</v>
      </c>
      <c r="B214" s="37">
        <v>13</v>
      </c>
      <c r="C214" s="55">
        <v>24.93</v>
      </c>
      <c r="D214" s="55">
        <v>16.399999999999999</v>
      </c>
      <c r="E214" s="56">
        <f>(PI()*(Pinus[[#This Row],[d_cm]]^2))/40000</f>
        <v>4.8812880700251478E-2</v>
      </c>
      <c r="F214" s="56">
        <f>Pinus[[#This Row],[gi_m²]]*Pinus[[#This Row],[h_m]]*0.45</f>
        <v>0.3602390595678559</v>
      </c>
    </row>
    <row r="215" spans="1:6" x14ac:dyDescent="0.3">
      <c r="A215" s="37">
        <v>3</v>
      </c>
      <c r="B215" s="37">
        <v>14</v>
      </c>
      <c r="C215" s="55">
        <v>17.940000000000001</v>
      </c>
      <c r="D215" s="55">
        <v>14.92</v>
      </c>
      <c r="E215" s="56">
        <f>(PI()*(Pinus[[#This Row],[d_cm]]^2))/40000</f>
        <v>2.5277537234122301E-2</v>
      </c>
      <c r="F215" s="56">
        <f>Pinus[[#This Row],[gi_m²]]*Pinus[[#This Row],[h_m]]*0.45</f>
        <v>0.16971338498989713</v>
      </c>
    </row>
    <row r="216" spans="1:6" x14ac:dyDescent="0.3">
      <c r="A216" s="37">
        <v>3</v>
      </c>
      <c r="B216" s="37">
        <v>15</v>
      </c>
      <c r="C216" s="55">
        <v>16.03</v>
      </c>
      <c r="D216" s="55">
        <v>14.41</v>
      </c>
      <c r="E216" s="56">
        <f>(PI()*(Pinus[[#This Row],[d_cm]]^2))/40000</f>
        <v>2.0181661892495539E-2</v>
      </c>
      <c r="F216" s="56">
        <f>Pinus[[#This Row],[gi_m²]]*Pinus[[#This Row],[h_m]]*0.45</f>
        <v>0.13086798654188733</v>
      </c>
    </row>
    <row r="217" spans="1:6" x14ac:dyDescent="0.3">
      <c r="A217" s="37">
        <v>3</v>
      </c>
      <c r="B217" s="37">
        <v>16</v>
      </c>
      <c r="C217" s="55">
        <v>26.7</v>
      </c>
      <c r="D217" s="55">
        <v>16.71</v>
      </c>
      <c r="E217" s="56">
        <f>(PI()*(Pinus[[#This Row],[d_cm]]^2))/40000</f>
        <v>5.5990249670440688E-2</v>
      </c>
      <c r="F217" s="56">
        <f>Pinus[[#This Row],[gi_m²]]*Pinus[[#This Row],[h_m]]*0.45</f>
        <v>0.42101868239687879</v>
      </c>
    </row>
    <row r="218" spans="1:6" x14ac:dyDescent="0.3">
      <c r="A218" s="37">
        <v>3</v>
      </c>
      <c r="B218" s="37">
        <v>17</v>
      </c>
      <c r="C218" s="55">
        <v>18.239999999999998</v>
      </c>
      <c r="D218" s="55">
        <v>14.99</v>
      </c>
      <c r="E218" s="56">
        <f>(PI()*(Pinus[[#This Row],[d_cm]]^2))/40000</f>
        <v>2.6130008400673886E-2</v>
      </c>
      <c r="F218" s="56">
        <f>Pinus[[#This Row],[gi_m²]]*Pinus[[#This Row],[h_m]]*0.45</f>
        <v>0.1762599716667457</v>
      </c>
    </row>
    <row r="219" spans="1:6" x14ac:dyDescent="0.3">
      <c r="A219" s="37">
        <v>3</v>
      </c>
      <c r="B219" s="37">
        <v>18</v>
      </c>
      <c r="C219" s="55">
        <v>17.11</v>
      </c>
      <c r="D219" s="55">
        <v>14.71</v>
      </c>
      <c r="E219" s="56">
        <f>(PI()*(Pinus[[#This Row],[d_cm]]^2))/40000</f>
        <v>2.2992696167074611E-2</v>
      </c>
      <c r="F219" s="56">
        <f>Pinus[[#This Row],[gi_m²]]*Pinus[[#This Row],[h_m]]*0.45</f>
        <v>0.15220015227795039</v>
      </c>
    </row>
    <row r="220" spans="1:6" x14ac:dyDescent="0.3">
      <c r="A220" s="37">
        <v>3</v>
      </c>
      <c r="B220" s="37">
        <v>19</v>
      </c>
      <c r="C220" s="55">
        <v>15.05</v>
      </c>
      <c r="D220" s="55">
        <v>14.13</v>
      </c>
      <c r="E220" s="56">
        <f>(PI()*(Pinus[[#This Row],[d_cm]]^2))/40000</f>
        <v>1.7789464750493054E-2</v>
      </c>
      <c r="F220" s="56">
        <f>Pinus[[#This Row],[gi_m²]]*Pinus[[#This Row],[h_m]]*0.45</f>
        <v>0.1131143116160101</v>
      </c>
    </row>
    <row r="221" spans="1:6" x14ac:dyDescent="0.3">
      <c r="A221" s="37">
        <v>3</v>
      </c>
      <c r="B221" s="37">
        <v>20</v>
      </c>
      <c r="C221" s="55">
        <v>14.86</v>
      </c>
      <c r="D221" s="55">
        <v>14.07</v>
      </c>
      <c r="E221" s="56">
        <f>(PI()*(Pinus[[#This Row],[d_cm]]^2))/40000</f>
        <v>1.7343130828215918E-2</v>
      </c>
      <c r="F221" s="56">
        <f>Pinus[[#This Row],[gi_m²]]*Pinus[[#This Row],[h_m]]*0.45</f>
        <v>0.10980803283884909</v>
      </c>
    </row>
    <row r="222" spans="1:6" x14ac:dyDescent="0.3">
      <c r="A222" s="37">
        <v>3</v>
      </c>
      <c r="B222" s="37">
        <v>21</v>
      </c>
      <c r="C222" s="55">
        <v>17.7</v>
      </c>
      <c r="D222" s="55">
        <v>14.86</v>
      </c>
      <c r="E222" s="56">
        <f>(PI()*(Pinus[[#This Row],[d_cm]]^2))/40000</f>
        <v>2.4605739061078654E-2</v>
      </c>
      <c r="F222" s="56">
        <f>Pinus[[#This Row],[gi_m²]]*Pinus[[#This Row],[h_m]]*0.45</f>
        <v>0.16453857710143296</v>
      </c>
    </row>
    <row r="223" spans="1:6" x14ac:dyDescent="0.3">
      <c r="A223" s="37">
        <v>3</v>
      </c>
      <c r="B223" s="37">
        <v>22</v>
      </c>
      <c r="C223" s="55">
        <v>22.47</v>
      </c>
      <c r="D223" s="55">
        <v>15.93</v>
      </c>
      <c r="E223" s="56">
        <f>(PI()*(Pinus[[#This Row],[d_cm]]^2))/40000</f>
        <v>3.9654823955771863E-2</v>
      </c>
      <c r="F223" s="56">
        <f>Pinus[[#This Row],[gi_m²]]*Pinus[[#This Row],[h_m]]*0.45</f>
        <v>0.28426560552695063</v>
      </c>
    </row>
    <row r="224" spans="1:6" x14ac:dyDescent="0.3">
      <c r="A224" s="37">
        <v>3</v>
      </c>
      <c r="B224" s="37">
        <v>23</v>
      </c>
      <c r="C224" s="55">
        <v>24.44</v>
      </c>
      <c r="D224" s="55">
        <v>16.309999999999999</v>
      </c>
      <c r="E224" s="56">
        <f>(PI()*(Pinus[[#This Row],[d_cm]]^2))/40000</f>
        <v>4.6912900441231815E-2</v>
      </c>
      <c r="F224" s="56">
        <f>Pinus[[#This Row],[gi_m²]]*Pinus[[#This Row],[h_m]]*0.45</f>
        <v>0.34431723278842091</v>
      </c>
    </row>
    <row r="225" spans="1:6" x14ac:dyDescent="0.3">
      <c r="A225" s="37">
        <v>3</v>
      </c>
      <c r="B225" s="37">
        <v>24</v>
      </c>
      <c r="C225" s="55">
        <v>22.83</v>
      </c>
      <c r="D225" s="55">
        <v>16</v>
      </c>
      <c r="E225" s="56">
        <f>(PI()*(Pinus[[#This Row],[d_cm]]^2))/40000</f>
        <v>4.0935651280640431E-2</v>
      </c>
      <c r="F225" s="56">
        <f>Pinus[[#This Row],[gi_m²]]*Pinus[[#This Row],[h_m]]*0.45</f>
        <v>0.29473668922061114</v>
      </c>
    </row>
    <row r="226" spans="1:6" x14ac:dyDescent="0.3">
      <c r="A226" s="37">
        <v>3</v>
      </c>
      <c r="B226" s="37">
        <v>25</v>
      </c>
      <c r="C226" s="55">
        <v>18.55</v>
      </c>
      <c r="D226" s="55">
        <v>15.07</v>
      </c>
      <c r="E226" s="56">
        <f>(PI()*(Pinus[[#This Row],[d_cm]]^2))/40000</f>
        <v>2.7025747152047044E-2</v>
      </c>
      <c r="F226" s="56">
        <f>Pinus[[#This Row],[gi_m²]]*Pinus[[#This Row],[h_m]]*0.45</f>
        <v>0.18327510431160704</v>
      </c>
    </row>
    <row r="227" spans="1:6" x14ac:dyDescent="0.3">
      <c r="A227" s="37">
        <v>3</v>
      </c>
      <c r="B227" s="37">
        <v>26</v>
      </c>
      <c r="C227" s="55">
        <v>20.239999999999998</v>
      </c>
      <c r="D227" s="55">
        <v>15.46</v>
      </c>
      <c r="E227" s="56">
        <f>(PI()*(Pinus[[#This Row],[d_cm]]^2))/40000</f>
        <v>3.2174432666180641E-2</v>
      </c>
      <c r="F227" s="56">
        <f>Pinus[[#This Row],[gi_m²]]*Pinus[[#This Row],[h_m]]*0.45</f>
        <v>0.22383752805861873</v>
      </c>
    </row>
    <row r="228" spans="1:6" x14ac:dyDescent="0.3">
      <c r="A228" s="37">
        <v>3</v>
      </c>
      <c r="B228" s="37">
        <v>27</v>
      </c>
      <c r="C228" s="55">
        <v>17.18</v>
      </c>
      <c r="D228" s="55">
        <v>14.73</v>
      </c>
      <c r="E228" s="56">
        <f>(PI()*(Pinus[[#This Row],[d_cm]]^2))/40000</f>
        <v>2.3181215288234903E-2</v>
      </c>
      <c r="F228" s="56">
        <f>Pinus[[#This Row],[gi_m²]]*Pinus[[#This Row],[h_m]]*0.45</f>
        <v>0.15365668553806505</v>
      </c>
    </row>
    <row r="229" spans="1:6" x14ac:dyDescent="0.3">
      <c r="A229" s="37">
        <v>3</v>
      </c>
      <c r="B229" s="37">
        <v>28</v>
      </c>
      <c r="C229" s="55">
        <v>17.13</v>
      </c>
      <c r="D229" s="55">
        <v>14.71</v>
      </c>
      <c r="E229" s="56">
        <f>(PI()*(Pinus[[#This Row],[d_cm]]^2))/40000</f>
        <v>2.3046480233304068E-2</v>
      </c>
      <c r="F229" s="56">
        <f>Pinus[[#This Row],[gi_m²]]*Pinus[[#This Row],[h_m]]*0.45</f>
        <v>0.15255617590435627</v>
      </c>
    </row>
    <row r="230" spans="1:6" x14ac:dyDescent="0.3">
      <c r="A230" s="37">
        <v>3</v>
      </c>
      <c r="B230" s="37">
        <v>29</v>
      </c>
      <c r="C230" s="55">
        <v>23.54</v>
      </c>
      <c r="D230" s="55">
        <v>16.14</v>
      </c>
      <c r="E230" s="56">
        <f>(PI()*(Pinus[[#This Row],[d_cm]]^2))/40000</f>
        <v>4.3521394092048936E-2</v>
      </c>
      <c r="F230" s="56">
        <f>Pinus[[#This Row],[gi_m²]]*Pinus[[#This Row],[h_m]]*0.45</f>
        <v>0.31609588529055144</v>
      </c>
    </row>
    <row r="231" spans="1:6" x14ac:dyDescent="0.3">
      <c r="A231" s="37">
        <v>3</v>
      </c>
      <c r="B231" s="37">
        <v>30</v>
      </c>
      <c r="C231" s="55">
        <v>15.94</v>
      </c>
      <c r="D231" s="55">
        <v>14.39</v>
      </c>
      <c r="E231" s="56">
        <f>(PI()*(Pinus[[#This Row],[d_cm]]^2))/40000</f>
        <v>1.9955679278941187E-2</v>
      </c>
      <c r="F231" s="56">
        <f>Pinus[[#This Row],[gi_m²]]*Pinus[[#This Row],[h_m]]*0.45</f>
        <v>0.12922300117078367</v>
      </c>
    </row>
    <row r="232" spans="1:6" x14ac:dyDescent="0.3">
      <c r="A232" s="37">
        <v>3</v>
      </c>
      <c r="B232" s="37">
        <v>31</v>
      </c>
      <c r="C232" s="55">
        <v>27.82</v>
      </c>
      <c r="D232" s="55">
        <v>16.89</v>
      </c>
      <c r="E232" s="56">
        <f>(PI()*(Pinus[[#This Row],[d_cm]]^2))/40000</f>
        <v>6.0786079351704721E-2</v>
      </c>
      <c r="F232" s="56">
        <f>Pinus[[#This Row],[gi_m²]]*Pinus[[#This Row],[h_m]]*0.45</f>
        <v>0.46200459611263178</v>
      </c>
    </row>
    <row r="233" spans="1:6" x14ac:dyDescent="0.3">
      <c r="A233" s="37">
        <v>3</v>
      </c>
      <c r="B233" s="37">
        <v>32</v>
      </c>
      <c r="C233" s="55">
        <v>19.64</v>
      </c>
      <c r="D233" s="55">
        <v>15.33</v>
      </c>
      <c r="E233" s="56">
        <f>(PI()*(Pinus[[#This Row],[d_cm]]^2))/40000</f>
        <v>3.0295131940803237E-2</v>
      </c>
      <c r="F233" s="56">
        <f>Pinus[[#This Row],[gi_m²]]*Pinus[[#This Row],[h_m]]*0.45</f>
        <v>0.20899096769363112</v>
      </c>
    </row>
    <row r="234" spans="1:6" x14ac:dyDescent="0.3">
      <c r="A234" s="37">
        <v>3</v>
      </c>
      <c r="B234" s="37">
        <v>33</v>
      </c>
      <c r="C234" s="55">
        <v>20.86</v>
      </c>
      <c r="D234" s="55">
        <v>15.6</v>
      </c>
      <c r="E234" s="56">
        <f>(PI()*(Pinus[[#This Row],[d_cm]]^2))/40000</f>
        <v>3.4175784266150026E-2</v>
      </c>
      <c r="F234" s="56">
        <f>Pinus[[#This Row],[gi_m²]]*Pinus[[#This Row],[h_m]]*0.45</f>
        <v>0.23991400554837319</v>
      </c>
    </row>
    <row r="235" spans="1:6" x14ac:dyDescent="0.3">
      <c r="A235" s="37">
        <v>3</v>
      </c>
      <c r="B235" s="37">
        <v>34</v>
      </c>
      <c r="C235" s="55">
        <v>17.05</v>
      </c>
      <c r="D235" s="55">
        <v>14.69</v>
      </c>
      <c r="E235" s="56">
        <f>(PI()*(Pinus[[#This Row],[d_cm]]^2))/40000</f>
        <v>2.2831720959504673E-2</v>
      </c>
      <c r="F235" s="56">
        <f>Pinus[[#This Row],[gi_m²]]*Pinus[[#This Row],[h_m]]*0.45</f>
        <v>0.15092909140280564</v>
      </c>
    </row>
    <row r="236" spans="1:6" x14ac:dyDescent="0.3">
      <c r="A236" s="37">
        <v>3</v>
      </c>
      <c r="B236" s="37">
        <v>35</v>
      </c>
      <c r="C236" s="55">
        <v>17.7</v>
      </c>
      <c r="D236" s="55">
        <v>14.86</v>
      </c>
      <c r="E236" s="56">
        <f>(PI()*(Pinus[[#This Row],[d_cm]]^2))/40000</f>
        <v>2.4605739061078654E-2</v>
      </c>
      <c r="F236" s="56">
        <f>Pinus[[#This Row],[gi_m²]]*Pinus[[#This Row],[h_m]]*0.45</f>
        <v>0.16453857710143296</v>
      </c>
    </row>
    <row r="237" spans="1:6" x14ac:dyDescent="0.3">
      <c r="A237" s="37">
        <v>3</v>
      </c>
      <c r="B237" s="37">
        <v>36</v>
      </c>
      <c r="C237" s="55">
        <v>14.73</v>
      </c>
      <c r="D237" s="55">
        <v>14.03</v>
      </c>
      <c r="E237" s="56">
        <f>(PI()*(Pinus[[#This Row],[d_cm]]^2))/40000</f>
        <v>1.7041011716701821E-2</v>
      </c>
      <c r="F237" s="56">
        <f>Pinus[[#This Row],[gi_m²]]*Pinus[[#This Row],[h_m]]*0.45</f>
        <v>0.10758842747339693</v>
      </c>
    </row>
    <row r="238" spans="1:6" x14ac:dyDescent="0.3">
      <c r="A238" s="37">
        <v>3</v>
      </c>
      <c r="B238" s="37">
        <v>37</v>
      </c>
      <c r="C238" s="55">
        <v>19.27</v>
      </c>
      <c r="D238" s="55">
        <v>15.24</v>
      </c>
      <c r="E238" s="56">
        <f>(PI()*(Pinus[[#This Row],[d_cm]]^2))/40000</f>
        <v>2.9164417766904829E-2</v>
      </c>
      <c r="F238" s="56">
        <f>Pinus[[#This Row],[gi_m²]]*Pinus[[#This Row],[h_m]]*0.45</f>
        <v>0.20000957704543335</v>
      </c>
    </row>
    <row r="239" spans="1:6" x14ac:dyDescent="0.3">
      <c r="A239" s="37">
        <v>3</v>
      </c>
      <c r="B239" s="37">
        <v>38</v>
      </c>
      <c r="C239" s="55">
        <v>21.68</v>
      </c>
      <c r="D239" s="55">
        <v>15.77</v>
      </c>
      <c r="E239" s="56">
        <f>(PI()*(Pinus[[#This Row],[d_cm]]^2))/40000</f>
        <v>3.6915472971566075E-2</v>
      </c>
      <c r="F239" s="56">
        <f>Pinus[[#This Row],[gi_m²]]*Pinus[[#This Row],[h_m]]*0.45</f>
        <v>0.26197065394271868</v>
      </c>
    </row>
    <row r="240" spans="1:6" x14ac:dyDescent="0.3">
      <c r="A240" s="37">
        <v>3</v>
      </c>
      <c r="B240" s="37">
        <v>39</v>
      </c>
      <c r="C240" s="55">
        <v>21.3</v>
      </c>
      <c r="D240" s="55">
        <v>15.69</v>
      </c>
      <c r="E240" s="56">
        <f>(PI()*(Pinus[[#This Row],[d_cm]]^2))/40000</f>
        <v>3.563272927517884E-2</v>
      </c>
      <c r="F240" s="56">
        <f>Pinus[[#This Row],[gi_m²]]*Pinus[[#This Row],[h_m]]*0.45</f>
        <v>0.25158488504740023</v>
      </c>
    </row>
    <row r="241" spans="1:6" x14ac:dyDescent="0.3">
      <c r="A241" s="37">
        <v>3</v>
      </c>
      <c r="B241" s="37">
        <v>40</v>
      </c>
      <c r="C241" s="55">
        <v>16.87</v>
      </c>
      <c r="D241" s="55">
        <v>14.64</v>
      </c>
      <c r="E241" s="56">
        <f>(PI()*(Pinus[[#This Row],[d_cm]]^2))/40000</f>
        <v>2.2352188256860733E-2</v>
      </c>
      <c r="F241" s="56">
        <f>Pinus[[#This Row],[gi_m²]]*Pinus[[#This Row],[h_m]]*0.45</f>
        <v>0.14725621623619853</v>
      </c>
    </row>
    <row r="242" spans="1:6" x14ac:dyDescent="0.3">
      <c r="A242" s="37">
        <v>3</v>
      </c>
      <c r="B242" s="37">
        <v>41</v>
      </c>
      <c r="C242" s="55">
        <v>16.850000000000001</v>
      </c>
      <c r="D242" s="55">
        <v>14.64</v>
      </c>
      <c r="E242" s="56">
        <f>(PI()*(Pinus[[#This Row],[d_cm]]^2))/40000</f>
        <v>2.2299221004721207E-2</v>
      </c>
      <c r="F242" s="56">
        <f>Pinus[[#This Row],[gi_m²]]*Pinus[[#This Row],[h_m]]*0.45</f>
        <v>0.14690726797910333</v>
      </c>
    </row>
    <row r="243" spans="1:6" x14ac:dyDescent="0.3">
      <c r="A243" s="37">
        <v>3</v>
      </c>
      <c r="B243" s="37">
        <v>42</v>
      </c>
      <c r="C243" s="55">
        <v>17.989999999999998</v>
      </c>
      <c r="D243" s="55">
        <v>14.93</v>
      </c>
      <c r="E243" s="56">
        <f>(PI()*(Pinus[[#This Row],[d_cm]]^2))/40000</f>
        <v>2.5418634014176645E-2</v>
      </c>
      <c r="F243" s="56">
        <f>Pinus[[#This Row],[gi_m²]]*Pinus[[#This Row],[h_m]]*0.45</f>
        <v>0.17077509262424578</v>
      </c>
    </row>
    <row r="244" spans="1:6" x14ac:dyDescent="0.3">
      <c r="A244" s="37">
        <v>3</v>
      </c>
      <c r="B244" s="37">
        <v>43</v>
      </c>
      <c r="C244" s="55">
        <v>25.98</v>
      </c>
      <c r="D244" s="55">
        <v>16.579999999999998</v>
      </c>
      <c r="E244" s="56">
        <f>(PI()*(Pinus[[#This Row],[d_cm]]^2))/40000</f>
        <v>5.3011265852600707E-2</v>
      </c>
      <c r="F244" s="56">
        <f>Pinus[[#This Row],[gi_m²]]*Pinus[[#This Row],[h_m]]*0.45</f>
        <v>0.39551705452625385</v>
      </c>
    </row>
    <row r="245" spans="1:6" x14ac:dyDescent="0.3">
      <c r="A245" s="37">
        <v>3</v>
      </c>
      <c r="B245" s="37">
        <v>44</v>
      </c>
      <c r="C245" s="55">
        <v>15.45</v>
      </c>
      <c r="D245" s="55">
        <v>14.25</v>
      </c>
      <c r="E245" s="56">
        <f>(PI()*(Pinus[[#This Row],[d_cm]]^2))/40000</f>
        <v>1.874765050983794E-2</v>
      </c>
      <c r="F245" s="56">
        <f>Pinus[[#This Row],[gi_m²]]*Pinus[[#This Row],[h_m]]*0.45</f>
        <v>0.1202193088943358</v>
      </c>
    </row>
    <row r="246" spans="1:6" x14ac:dyDescent="0.3">
      <c r="A246" s="37">
        <v>3</v>
      </c>
      <c r="B246" s="37">
        <v>45</v>
      </c>
      <c r="C246" s="55">
        <v>19.28</v>
      </c>
      <c r="D246" s="55">
        <v>15.24</v>
      </c>
      <c r="E246" s="56">
        <f>(PI()*(Pinus[[#This Row],[d_cm]]^2))/40000</f>
        <v>2.9194694866103803E-2</v>
      </c>
      <c r="F246" s="56">
        <f>Pinus[[#This Row],[gi_m²]]*Pinus[[#This Row],[h_m]]*0.45</f>
        <v>0.20021721739173989</v>
      </c>
    </row>
    <row r="247" spans="1:6" x14ac:dyDescent="0.3">
      <c r="A247" s="37">
        <v>3</v>
      </c>
      <c r="B247" s="37">
        <v>46</v>
      </c>
      <c r="C247" s="55">
        <v>27.61</v>
      </c>
      <c r="D247" s="55">
        <v>16.86</v>
      </c>
      <c r="E247" s="56">
        <f>(PI()*(Pinus[[#This Row],[d_cm]]^2))/40000</f>
        <v>5.9871852327565193E-2</v>
      </c>
      <c r="F247" s="56">
        <f>Pinus[[#This Row],[gi_m²]]*Pinus[[#This Row],[h_m]]*0.45</f>
        <v>0.45424774360923714</v>
      </c>
    </row>
    <row r="248" spans="1:6" x14ac:dyDescent="0.3">
      <c r="A248" s="37">
        <v>3</v>
      </c>
      <c r="B248" s="37">
        <v>47</v>
      </c>
      <c r="C248" s="55">
        <v>19.600000000000001</v>
      </c>
      <c r="D248" s="55">
        <v>15.32</v>
      </c>
      <c r="E248" s="56">
        <f>(PI()*(Pinus[[#This Row],[d_cm]]^2))/40000</f>
        <v>3.0171855845076378E-2</v>
      </c>
      <c r="F248" s="56">
        <f>Pinus[[#This Row],[gi_m²]]*Pinus[[#This Row],[h_m]]*0.45</f>
        <v>0.20800477419595656</v>
      </c>
    </row>
    <row r="249" spans="1:6" x14ac:dyDescent="0.3">
      <c r="A249" s="37">
        <v>3</v>
      </c>
      <c r="B249" s="37">
        <v>48</v>
      </c>
      <c r="C249" s="55">
        <v>14.56</v>
      </c>
      <c r="D249" s="55">
        <v>13.98</v>
      </c>
      <c r="E249" s="56">
        <f>(PI()*(Pinus[[#This Row],[d_cm]]^2))/40000</f>
        <v>1.6649938409201332E-2</v>
      </c>
      <c r="F249" s="56">
        <f>Pinus[[#This Row],[gi_m²]]*Pinus[[#This Row],[h_m]]*0.45</f>
        <v>0.1047447625322856</v>
      </c>
    </row>
    <row r="250" spans="1:6" x14ac:dyDescent="0.3">
      <c r="A250" s="37">
        <v>3</v>
      </c>
      <c r="B250" s="37">
        <v>49</v>
      </c>
      <c r="C250" s="55">
        <v>17.34</v>
      </c>
      <c r="D250" s="55">
        <v>14.77</v>
      </c>
      <c r="E250" s="56">
        <f>(PI()*(Pinus[[#This Row],[d_cm]]^2))/40000</f>
        <v>2.3615006401842577E-2</v>
      </c>
      <c r="F250" s="56">
        <f>Pinus[[#This Row],[gi_m²]]*Pinus[[#This Row],[h_m]]*0.45</f>
        <v>0.15695714004984668</v>
      </c>
    </row>
    <row r="251" spans="1:6" x14ac:dyDescent="0.3">
      <c r="A251" s="37">
        <v>3</v>
      </c>
      <c r="B251" s="37">
        <v>50</v>
      </c>
      <c r="C251" s="55">
        <v>21.94</v>
      </c>
      <c r="D251" s="55">
        <v>15.82</v>
      </c>
      <c r="E251" s="56">
        <f>(PI()*(Pinus[[#This Row],[d_cm]]^2))/40000</f>
        <v>3.7806208736638397E-2</v>
      </c>
      <c r="F251" s="56">
        <f>Pinus[[#This Row],[gi_m²]]*Pinus[[#This Row],[h_m]]*0.45</f>
        <v>0.26914239999612877</v>
      </c>
    </row>
    <row r="252" spans="1:6" x14ac:dyDescent="0.3">
      <c r="A252" s="37">
        <v>3</v>
      </c>
      <c r="B252" s="37">
        <v>51</v>
      </c>
      <c r="C252" s="55">
        <v>18.5</v>
      </c>
      <c r="D252" s="55">
        <v>15.06</v>
      </c>
      <c r="E252" s="56">
        <f>(PI()*(Pinus[[#This Row],[d_cm]]^2))/40000</f>
        <v>2.6880252142277669E-2</v>
      </c>
      <c r="F252" s="56">
        <f>Pinus[[#This Row],[gi_m²]]*Pinus[[#This Row],[h_m]]*0.45</f>
        <v>0.18216746876821577</v>
      </c>
    </row>
    <row r="253" spans="1:6" x14ac:dyDescent="0.3">
      <c r="A253" s="37">
        <v>3</v>
      </c>
      <c r="B253" s="37">
        <v>52</v>
      </c>
      <c r="C253" s="55">
        <v>17.75</v>
      </c>
      <c r="D253" s="55">
        <v>14.87</v>
      </c>
      <c r="E253" s="56">
        <f>(PI()*(Pinus[[#This Row],[d_cm]]^2))/40000</f>
        <v>2.4744950885540854E-2</v>
      </c>
      <c r="F253" s="56">
        <f>Pinus[[#This Row],[gi_m²]]*Pinus[[#This Row],[h_m]]*0.45</f>
        <v>0.16558083885059663</v>
      </c>
    </row>
    <row r="254" spans="1:6" x14ac:dyDescent="0.3">
      <c r="A254" s="37">
        <v>3</v>
      </c>
      <c r="B254" s="37">
        <v>53</v>
      </c>
      <c r="C254" s="55">
        <v>18.62</v>
      </c>
      <c r="D254" s="55">
        <v>15.09</v>
      </c>
      <c r="E254" s="56">
        <f>(PI()*(Pinus[[#This Row],[d_cm]]^2))/40000</f>
        <v>2.7230099900181427E-2</v>
      </c>
      <c r="F254" s="56">
        <f>Pinus[[#This Row],[gi_m²]]*Pinus[[#This Row],[h_m]]*0.45</f>
        <v>0.184905993372182</v>
      </c>
    </row>
    <row r="255" spans="1:6" x14ac:dyDescent="0.3">
      <c r="A255" s="37">
        <v>3</v>
      </c>
      <c r="B255" s="37">
        <v>54</v>
      </c>
      <c r="C255" s="55">
        <v>20.36</v>
      </c>
      <c r="D255" s="55">
        <v>15.49</v>
      </c>
      <c r="E255" s="56">
        <f>(PI()*(Pinus[[#This Row],[d_cm]]^2))/40000</f>
        <v>3.2557078651387884E-2</v>
      </c>
      <c r="F255" s="56">
        <f>Pinus[[#This Row],[gi_m²]]*Pinus[[#This Row],[h_m]]*0.45</f>
        <v>0.22693911673949924</v>
      </c>
    </row>
    <row r="256" spans="1:6" x14ac:dyDescent="0.3">
      <c r="A256" s="37">
        <v>3</v>
      </c>
      <c r="B256" s="37">
        <v>55</v>
      </c>
      <c r="C256" s="55">
        <v>26.39</v>
      </c>
      <c r="D256" s="55">
        <v>16.649999999999999</v>
      </c>
      <c r="E256" s="56">
        <f>(PI()*(Pinus[[#This Row],[d_cm]]^2))/40000</f>
        <v>5.469764922710281E-2</v>
      </c>
      <c r="F256" s="56">
        <f>Pinus[[#This Row],[gi_m²]]*Pinus[[#This Row],[h_m]]*0.45</f>
        <v>0.40982213683406776</v>
      </c>
    </row>
    <row r="257" spans="1:6" x14ac:dyDescent="0.3">
      <c r="A257" s="37">
        <v>3</v>
      </c>
      <c r="B257" s="37">
        <v>56</v>
      </c>
      <c r="C257" s="55">
        <v>19.649999999999999</v>
      </c>
      <c r="D257" s="55">
        <v>15.33</v>
      </c>
      <c r="E257" s="56">
        <f>(PI()*(Pinus[[#This Row],[d_cm]]^2))/40000</f>
        <v>3.0325990234643121E-2</v>
      </c>
      <c r="F257" s="56">
        <f>Pinus[[#This Row],[gi_m²]]*Pinus[[#This Row],[h_m]]*0.45</f>
        <v>0.20920384363368558</v>
      </c>
    </row>
    <row r="258" spans="1:6" x14ac:dyDescent="0.3">
      <c r="A258" s="37">
        <v>3</v>
      </c>
      <c r="B258" s="37">
        <v>57</v>
      </c>
      <c r="C258" s="55">
        <v>24.32</v>
      </c>
      <c r="D258" s="55">
        <v>16.29</v>
      </c>
      <c r="E258" s="56">
        <f>(PI()*(Pinus[[#This Row],[d_cm]]^2))/40000</f>
        <v>4.6453348267864694E-2</v>
      </c>
      <c r="F258" s="56">
        <f>Pinus[[#This Row],[gi_m²]]*Pinus[[#This Row],[h_m]]*0.45</f>
        <v>0.34052626947758213</v>
      </c>
    </row>
    <row r="259" spans="1:6" x14ac:dyDescent="0.3">
      <c r="A259" s="37">
        <v>3</v>
      </c>
      <c r="B259" s="37">
        <v>58</v>
      </c>
      <c r="C259" s="55">
        <v>22.52</v>
      </c>
      <c r="D259" s="55">
        <v>15.94</v>
      </c>
      <c r="E259" s="56">
        <f>(PI()*(Pinus[[#This Row],[d_cm]]^2))/40000</f>
        <v>3.9831499272628121E-2</v>
      </c>
      <c r="F259" s="56">
        <f>Pinus[[#This Row],[gi_m²]]*Pinus[[#This Row],[h_m]]*0.45</f>
        <v>0.28571134428256151</v>
      </c>
    </row>
    <row r="260" spans="1:6" x14ac:dyDescent="0.3">
      <c r="A260" s="37">
        <v>3</v>
      </c>
      <c r="B260" s="37">
        <v>59</v>
      </c>
      <c r="C260" s="55">
        <v>19.55</v>
      </c>
      <c r="D260" s="55">
        <v>15.3</v>
      </c>
      <c r="E260" s="56">
        <f>(PI()*(Pinus[[#This Row],[d_cm]]^2))/40000</f>
        <v>3.0018114154591324E-2</v>
      </c>
      <c r="F260" s="56">
        <f>Pinus[[#This Row],[gi_m²]]*Pinus[[#This Row],[h_m]]*0.45</f>
        <v>0.20667471595436127</v>
      </c>
    </row>
    <row r="261" spans="1:6" x14ac:dyDescent="0.3">
      <c r="A261" s="37">
        <v>3</v>
      </c>
      <c r="B261" s="37">
        <v>60</v>
      </c>
      <c r="C261" s="55">
        <v>13.87</v>
      </c>
      <c r="D261" s="55">
        <v>13.76</v>
      </c>
      <c r="E261" s="56">
        <f>(PI()*(Pinus[[#This Row],[d_cm]]^2))/40000</f>
        <v>1.5109246394009455E-2</v>
      </c>
      <c r="F261" s="56">
        <f>Pinus[[#This Row],[gi_m²]]*Pinus[[#This Row],[h_m]]*0.45</f>
        <v>9.3556453671706549E-2</v>
      </c>
    </row>
    <row r="262" spans="1:6" x14ac:dyDescent="0.3">
      <c r="A262" s="37">
        <v>3</v>
      </c>
      <c r="B262" s="37">
        <v>61</v>
      </c>
      <c r="C262" s="55">
        <v>17.920000000000002</v>
      </c>
      <c r="D262" s="55">
        <v>14.91</v>
      </c>
      <c r="E262" s="56">
        <f>(PI()*(Pinus[[#This Row],[d_cm]]^2))/40000</f>
        <v>2.5221208477843437E-2</v>
      </c>
      <c r="F262" s="56">
        <f>Pinus[[#This Row],[gi_m²]]*Pinus[[#This Row],[h_m]]*0.45</f>
        <v>0.16922169828209055</v>
      </c>
    </row>
    <row r="263" spans="1:6" x14ac:dyDescent="0.3">
      <c r="A263" s="37">
        <v>3</v>
      </c>
      <c r="B263" s="37">
        <v>62</v>
      </c>
      <c r="C263" s="55">
        <v>18.04</v>
      </c>
      <c r="D263" s="55">
        <v>14.94</v>
      </c>
      <c r="E263" s="56">
        <f>(PI()*(Pinus[[#This Row],[d_cm]]^2))/40000</f>
        <v>2.55601234933127E-2</v>
      </c>
      <c r="F263" s="56">
        <f>Pinus[[#This Row],[gi_m²]]*Pinus[[#This Row],[h_m]]*0.45</f>
        <v>0.17184071024554129</v>
      </c>
    </row>
    <row r="264" spans="1:6" x14ac:dyDescent="0.3">
      <c r="A264" s="37">
        <v>3</v>
      </c>
      <c r="B264" s="37">
        <v>63</v>
      </c>
      <c r="C264" s="55">
        <v>20.190000000000001</v>
      </c>
      <c r="D264" s="55">
        <v>15.45</v>
      </c>
      <c r="E264" s="56">
        <f>(PI()*(Pinus[[#This Row],[d_cm]]^2))/40000</f>
        <v>3.2015664427449859E-2</v>
      </c>
      <c r="F264" s="56">
        <f>Pinus[[#This Row],[gi_m²]]*Pinus[[#This Row],[h_m]]*0.45</f>
        <v>0.22258890693184513</v>
      </c>
    </row>
    <row r="265" spans="1:6" x14ac:dyDescent="0.3">
      <c r="A265" s="37">
        <v>3</v>
      </c>
      <c r="B265" s="37">
        <v>64</v>
      </c>
      <c r="C265" s="55">
        <v>25.2</v>
      </c>
      <c r="D265" s="55">
        <v>16.45</v>
      </c>
      <c r="E265" s="56">
        <f>(PI()*(Pinus[[#This Row],[d_cm]]^2))/40000</f>
        <v>4.987592496839155E-2</v>
      </c>
      <c r="F265" s="56">
        <f>Pinus[[#This Row],[gi_m²]]*Pinus[[#This Row],[h_m]]*0.45</f>
        <v>0.36920653457851843</v>
      </c>
    </row>
    <row r="266" spans="1:6" x14ac:dyDescent="0.3">
      <c r="A266" s="37">
        <v>3</v>
      </c>
      <c r="B266" s="37">
        <v>65</v>
      </c>
      <c r="C266" s="55">
        <v>29.17</v>
      </c>
      <c r="D266" s="55">
        <v>17.100000000000001</v>
      </c>
      <c r="E266" s="56">
        <f>(PI()*(Pinus[[#This Row],[d_cm]]^2))/40000</f>
        <v>6.6828657931527521E-2</v>
      </c>
      <c r="F266" s="56">
        <f>Pinus[[#This Row],[gi_m²]]*Pinus[[#This Row],[h_m]]*0.45</f>
        <v>0.51424652278310434</v>
      </c>
    </row>
    <row r="267" spans="1:6" x14ac:dyDescent="0.3">
      <c r="A267" s="37">
        <v>3</v>
      </c>
      <c r="B267" s="37">
        <v>66</v>
      </c>
      <c r="C267" s="55">
        <v>26.19</v>
      </c>
      <c r="D267" s="55">
        <v>16.62</v>
      </c>
      <c r="E267" s="56">
        <f>(PI()*(Pinus[[#This Row],[d_cm]]^2))/40000</f>
        <v>5.3871724518474051E-2</v>
      </c>
      <c r="F267" s="56">
        <f>Pinus[[#This Row],[gi_m²]]*Pinus[[#This Row],[h_m]]*0.45</f>
        <v>0.40290662767366747</v>
      </c>
    </row>
    <row r="268" spans="1:6" x14ac:dyDescent="0.3">
      <c r="A268" s="37">
        <v>3</v>
      </c>
      <c r="B268" s="37">
        <v>67</v>
      </c>
      <c r="C268" s="55">
        <v>19.47</v>
      </c>
      <c r="D268" s="55">
        <v>15.29</v>
      </c>
      <c r="E268" s="56">
        <f>(PI()*(Pinus[[#This Row],[d_cm]]^2))/40000</f>
        <v>2.9772944263905168E-2</v>
      </c>
      <c r="F268" s="56">
        <f>Pinus[[#This Row],[gi_m²]]*Pinus[[#This Row],[h_m]]*0.45</f>
        <v>0.20485274300779949</v>
      </c>
    </row>
    <row r="269" spans="1:6" x14ac:dyDescent="0.3">
      <c r="A269" s="37">
        <v>3</v>
      </c>
      <c r="B269" s="37">
        <v>68</v>
      </c>
      <c r="C269" s="55">
        <v>12.97</v>
      </c>
      <c r="D269" s="55">
        <v>13.46</v>
      </c>
      <c r="E269" s="56">
        <f>(PI()*(Pinus[[#This Row],[d_cm]]^2))/40000</f>
        <v>1.3212038590506583E-2</v>
      </c>
      <c r="F269" s="56">
        <f>Pinus[[#This Row],[gi_m²]]*Pinus[[#This Row],[h_m]]*0.45</f>
        <v>8.0025317742698387E-2</v>
      </c>
    </row>
    <row r="270" spans="1:6" x14ac:dyDescent="0.3">
      <c r="A270" s="37">
        <v>3</v>
      </c>
      <c r="B270" s="37">
        <v>69</v>
      </c>
      <c r="C270" s="55">
        <v>18.440000000000001</v>
      </c>
      <c r="D270" s="55">
        <v>15.04</v>
      </c>
      <c r="E270" s="56">
        <f>(PI()*(Pinus[[#This Row],[d_cm]]^2))/40000</f>
        <v>2.6706176493342258E-2</v>
      </c>
      <c r="F270" s="56">
        <f>Pinus[[#This Row],[gi_m²]]*Pinus[[#This Row],[h_m]]*0.45</f>
        <v>0.18074740250694038</v>
      </c>
    </row>
    <row r="271" spans="1:6" x14ac:dyDescent="0.3">
      <c r="A271" s="37">
        <v>3</v>
      </c>
      <c r="B271" s="37">
        <v>70</v>
      </c>
      <c r="C271" s="55">
        <v>20.36</v>
      </c>
      <c r="D271" s="55">
        <v>15.49</v>
      </c>
      <c r="E271" s="56">
        <f>(PI()*(Pinus[[#This Row],[d_cm]]^2))/40000</f>
        <v>3.2557078651387884E-2</v>
      </c>
      <c r="F271" s="56">
        <f>Pinus[[#This Row],[gi_m²]]*Pinus[[#This Row],[h_m]]*0.45</f>
        <v>0.22693911673949924</v>
      </c>
    </row>
    <row r="272" spans="1:6" x14ac:dyDescent="0.3">
      <c r="A272" s="37">
        <v>3</v>
      </c>
      <c r="B272" s="37">
        <v>71</v>
      </c>
      <c r="C272" s="55">
        <v>23.38</v>
      </c>
      <c r="D272" s="55">
        <v>16.11</v>
      </c>
      <c r="E272" s="56">
        <f>(PI()*(Pinus[[#This Row],[d_cm]]^2))/40000</f>
        <v>4.2931779982823208E-2</v>
      </c>
      <c r="F272" s="56">
        <f>Pinus[[#This Row],[gi_m²]]*Pinus[[#This Row],[h_m]]*0.45</f>
        <v>0.31123393898547685</v>
      </c>
    </row>
    <row r="273" spans="1:6" x14ac:dyDescent="0.3">
      <c r="A273" s="37">
        <v>3</v>
      </c>
      <c r="B273" s="37">
        <v>72</v>
      </c>
      <c r="C273" s="55">
        <v>23.85</v>
      </c>
      <c r="D273" s="55">
        <v>16.2</v>
      </c>
      <c r="E273" s="56">
        <f>(PI()*(Pinus[[#This Row],[d_cm]]^2))/40000</f>
        <v>4.4675214679914511E-2</v>
      </c>
      <c r="F273" s="56">
        <f>Pinus[[#This Row],[gi_m²]]*Pinus[[#This Row],[h_m]]*0.45</f>
        <v>0.3256823150165768</v>
      </c>
    </row>
    <row r="274" spans="1:6" x14ac:dyDescent="0.3">
      <c r="A274" s="37">
        <v>3</v>
      </c>
      <c r="B274" s="37">
        <v>73</v>
      </c>
      <c r="C274" s="55">
        <v>22.74</v>
      </c>
      <c r="D274" s="55">
        <v>15.98</v>
      </c>
      <c r="E274" s="56">
        <f>(PI()*(Pinus[[#This Row],[d_cm]]^2))/40000</f>
        <v>4.0613535931886227E-2</v>
      </c>
      <c r="F274" s="56">
        <f>Pinus[[#This Row],[gi_m²]]*Pinus[[#This Row],[h_m]]*0.45</f>
        <v>0.29205193688619391</v>
      </c>
    </row>
    <row r="275" spans="1:6" x14ac:dyDescent="0.3">
      <c r="A275" s="37">
        <v>3</v>
      </c>
      <c r="B275" s="37">
        <v>74</v>
      </c>
      <c r="C275" s="55">
        <v>14.42</v>
      </c>
      <c r="D275" s="55">
        <v>13.94</v>
      </c>
      <c r="E275" s="56">
        <f>(PI()*(Pinus[[#This Row],[d_cm]]^2))/40000</f>
        <v>1.6331286666347717E-2</v>
      </c>
      <c r="F275" s="56">
        <f>Pinus[[#This Row],[gi_m²]]*Pinus[[#This Row],[h_m]]*0.45</f>
        <v>0.10244616125799923</v>
      </c>
    </row>
    <row r="276" spans="1:6" x14ac:dyDescent="0.3">
      <c r="A276" s="37">
        <v>3</v>
      </c>
      <c r="B276" s="37">
        <v>75</v>
      </c>
      <c r="C276" s="55">
        <v>23.4</v>
      </c>
      <c r="D276" s="55">
        <v>16.11</v>
      </c>
      <c r="E276" s="56">
        <f>(PI()*(Pinus[[#This Row],[d_cm]]^2))/40000</f>
        <v>4.300526183499067E-2</v>
      </c>
      <c r="F276" s="56">
        <f>Pinus[[#This Row],[gi_m²]]*Pinus[[#This Row],[h_m]]*0.45</f>
        <v>0.31176664567276485</v>
      </c>
    </row>
    <row r="277" spans="1:6" x14ac:dyDescent="0.3">
      <c r="A277" s="37">
        <v>3</v>
      </c>
      <c r="B277" s="37">
        <v>76</v>
      </c>
      <c r="C277" s="55">
        <v>18.21</v>
      </c>
      <c r="D277" s="55">
        <v>14.99</v>
      </c>
      <c r="E277" s="56">
        <f>(PI()*(Pinus[[#This Row],[d_cm]]^2))/40000</f>
        <v>2.6044125111506378E-2</v>
      </c>
      <c r="F277" s="56">
        <f>Pinus[[#This Row],[gi_m²]]*Pinus[[#This Row],[h_m]]*0.45</f>
        <v>0.17568064593966626</v>
      </c>
    </row>
    <row r="278" spans="1:6" x14ac:dyDescent="0.3">
      <c r="A278" s="37">
        <v>3</v>
      </c>
      <c r="B278" s="37">
        <v>77</v>
      </c>
      <c r="C278" s="55">
        <v>20.7</v>
      </c>
      <c r="D278" s="55">
        <v>15.56</v>
      </c>
      <c r="E278" s="56">
        <f>(PI()*(Pinus[[#This Row],[d_cm]]^2))/40000</f>
        <v>3.3653525903417254E-2</v>
      </c>
      <c r="F278" s="56">
        <f>Pinus[[#This Row],[gi_m²]]*Pinus[[#This Row],[h_m]]*0.45</f>
        <v>0.23564198837572764</v>
      </c>
    </row>
    <row r="279" spans="1:6" x14ac:dyDescent="0.3">
      <c r="A279" s="37">
        <v>3</v>
      </c>
      <c r="B279" s="37">
        <v>78</v>
      </c>
      <c r="C279" s="55">
        <v>20.3</v>
      </c>
      <c r="D279" s="55">
        <v>15.47</v>
      </c>
      <c r="E279" s="56">
        <f>(PI()*(Pinus[[#This Row],[d_cm]]^2))/40000</f>
        <v>3.2365472915445455E-2</v>
      </c>
      <c r="F279" s="56">
        <f>Pinus[[#This Row],[gi_m²]]*Pinus[[#This Row],[h_m]]*0.45</f>
        <v>0.22531223970087355</v>
      </c>
    </row>
    <row r="280" spans="1:6" x14ac:dyDescent="0.3">
      <c r="A280" s="37">
        <v>3</v>
      </c>
      <c r="B280" s="37">
        <v>79</v>
      </c>
      <c r="C280" s="55">
        <v>21.71</v>
      </c>
      <c r="D280" s="55">
        <v>15.78</v>
      </c>
      <c r="E280" s="56">
        <f>(PI()*(Pinus[[#This Row],[d_cm]]^2))/40000</f>
        <v>3.701770825049553E-2</v>
      </c>
      <c r="F280" s="56">
        <f>Pinus[[#This Row],[gi_m²]]*Pinus[[#This Row],[h_m]]*0.45</f>
        <v>0.26286274628676876</v>
      </c>
    </row>
    <row r="281" spans="1:6" x14ac:dyDescent="0.3">
      <c r="A281" s="37">
        <v>3</v>
      </c>
      <c r="B281" s="37">
        <v>80</v>
      </c>
      <c r="C281" s="55">
        <v>20.100000000000001</v>
      </c>
      <c r="D281" s="55">
        <v>15.43</v>
      </c>
      <c r="E281" s="56">
        <f>(PI()*(Pinus[[#This Row],[d_cm]]^2))/40000</f>
        <v>3.1730871199420314E-2</v>
      </c>
      <c r="F281" s="56">
        <f>Pinus[[#This Row],[gi_m²]]*Pinus[[#This Row],[h_m]]*0.45</f>
        <v>0.22032330417317497</v>
      </c>
    </row>
    <row r="282" spans="1:6" x14ac:dyDescent="0.3">
      <c r="A282" s="37">
        <v>3</v>
      </c>
      <c r="B282" s="37">
        <v>81</v>
      </c>
      <c r="C282" s="55">
        <v>13.33</v>
      </c>
      <c r="D282" s="55">
        <v>13.58</v>
      </c>
      <c r="E282" s="56">
        <f>(PI()*(Pinus[[#This Row],[d_cm]]^2))/40000</f>
        <v>1.3955653571611285E-2</v>
      </c>
      <c r="F282" s="56">
        <f>Pinus[[#This Row],[gi_m²]]*Pinus[[#This Row],[h_m]]*0.45</f>
        <v>8.5282998976116561E-2</v>
      </c>
    </row>
    <row r="283" spans="1:6" x14ac:dyDescent="0.3">
      <c r="A283" s="37">
        <v>3</v>
      </c>
      <c r="B283" s="37">
        <v>82</v>
      </c>
      <c r="C283" s="55">
        <v>22.95</v>
      </c>
      <c r="D283" s="55">
        <v>16.03</v>
      </c>
      <c r="E283" s="56">
        <f>(PI()*(Pinus[[#This Row],[d_cm]]^2))/40000</f>
        <v>4.136711761568445E-2</v>
      </c>
      <c r="F283" s="56">
        <f>Pinus[[#This Row],[gi_m²]]*Pinus[[#This Row],[h_m]]*0.45</f>
        <v>0.29840170292073981</v>
      </c>
    </row>
    <row r="284" spans="1:6" x14ac:dyDescent="0.3">
      <c r="A284" s="37">
        <v>3</v>
      </c>
      <c r="B284" s="37">
        <v>83</v>
      </c>
      <c r="C284" s="55">
        <v>21.54</v>
      </c>
      <c r="D284" s="55">
        <v>15.74</v>
      </c>
      <c r="E284" s="56">
        <f>(PI()*(Pinus[[#This Row],[d_cm]]^2))/40000</f>
        <v>3.6440244250857547E-2</v>
      </c>
      <c r="F284" s="56">
        <f>Pinus[[#This Row],[gi_m²]]*Pinus[[#This Row],[h_m]]*0.45</f>
        <v>0.25810625002882404</v>
      </c>
    </row>
    <row r="285" spans="1:6" x14ac:dyDescent="0.3">
      <c r="A285" s="37">
        <v>3</v>
      </c>
      <c r="B285" s="37">
        <v>84</v>
      </c>
      <c r="C285" s="55">
        <v>18.940000000000001</v>
      </c>
      <c r="D285" s="55">
        <v>15.16</v>
      </c>
      <c r="E285" s="56">
        <f>(PI()*(Pinus[[#This Row],[d_cm]]^2))/40000</f>
        <v>2.8174085660732089E-2</v>
      </c>
      <c r="F285" s="56">
        <f>Pinus[[#This Row],[gi_m²]]*Pinus[[#This Row],[h_m]]*0.45</f>
        <v>0.19220361237751432</v>
      </c>
    </row>
    <row r="286" spans="1:6" x14ac:dyDescent="0.3">
      <c r="A286" s="37">
        <v>3</v>
      </c>
      <c r="B286" s="37">
        <v>85</v>
      </c>
      <c r="C286" s="55">
        <v>20.47</v>
      </c>
      <c r="D286" s="55">
        <v>15.51</v>
      </c>
      <c r="E286" s="56">
        <f>(PI()*(Pinus[[#This Row],[d_cm]]^2))/40000</f>
        <v>3.2909824528514577E-2</v>
      </c>
      <c r="F286" s="56">
        <f>Pinus[[#This Row],[gi_m²]]*Pinus[[#This Row],[h_m]]*0.45</f>
        <v>0.22969412029676747</v>
      </c>
    </row>
    <row r="287" spans="1:6" x14ac:dyDescent="0.3">
      <c r="A287" s="37">
        <v>3</v>
      </c>
      <c r="B287" s="37">
        <v>86</v>
      </c>
      <c r="C287" s="55">
        <v>20.54</v>
      </c>
      <c r="D287" s="55">
        <v>15.53</v>
      </c>
      <c r="E287" s="56">
        <f>(PI()*(Pinus[[#This Row],[d_cm]]^2))/40000</f>
        <v>3.3135288779281083E-2</v>
      </c>
      <c r="F287" s="56">
        <f>Pinus[[#This Row],[gi_m²]]*Pinus[[#This Row],[h_m]]*0.45</f>
        <v>0.23156596563400586</v>
      </c>
    </row>
    <row r="288" spans="1:6" x14ac:dyDescent="0.3">
      <c r="A288" s="37">
        <v>3</v>
      </c>
      <c r="B288" s="37">
        <v>87</v>
      </c>
      <c r="C288" s="55">
        <v>20.88</v>
      </c>
      <c r="D288" s="55">
        <v>15.6</v>
      </c>
      <c r="E288" s="56">
        <f>(PI()*(Pinus[[#This Row],[d_cm]]^2))/40000</f>
        <v>3.4241349304830443E-2</v>
      </c>
      <c r="F288" s="56">
        <f>Pinus[[#This Row],[gi_m²]]*Pinus[[#This Row],[h_m]]*0.45</f>
        <v>0.24037427211990972</v>
      </c>
    </row>
    <row r="289" spans="1:6" x14ac:dyDescent="0.3">
      <c r="A289" s="37">
        <v>3</v>
      </c>
      <c r="B289" s="37">
        <v>88</v>
      </c>
      <c r="C289" s="55">
        <v>26.56</v>
      </c>
      <c r="D289" s="55">
        <v>16.68</v>
      </c>
      <c r="E289" s="56">
        <f>(PI()*(Pinus[[#This Row],[d_cm]]^2))/40000</f>
        <v>5.5404625383885013E-2</v>
      </c>
      <c r="F289" s="56">
        <f>Pinus[[#This Row],[gi_m²]]*Pinus[[#This Row],[h_m]]*0.45</f>
        <v>0.41586711813144089</v>
      </c>
    </row>
    <row r="290" spans="1:6" x14ac:dyDescent="0.3">
      <c r="A290" s="37">
        <v>3</v>
      </c>
      <c r="B290" s="37">
        <v>89</v>
      </c>
      <c r="C290" s="55">
        <v>19.12</v>
      </c>
      <c r="D290" s="55">
        <v>15.21</v>
      </c>
      <c r="E290" s="56">
        <f>(PI()*(Pinus[[#This Row],[d_cm]]^2))/40000</f>
        <v>2.8712146234512414E-2</v>
      </c>
      <c r="F290" s="56">
        <f>Pinus[[#This Row],[gi_m²]]*Pinus[[#This Row],[h_m]]*0.45</f>
        <v>0.19652028490212023</v>
      </c>
    </row>
    <row r="291" spans="1:6" x14ac:dyDescent="0.3">
      <c r="A291" s="37">
        <v>3</v>
      </c>
      <c r="B291" s="37">
        <v>90</v>
      </c>
      <c r="C291" s="55">
        <v>20.67</v>
      </c>
      <c r="D291" s="55">
        <v>15.56</v>
      </c>
      <c r="E291" s="56">
        <f>(PI()*(Pinus[[#This Row],[d_cm]]^2))/40000</f>
        <v>3.3556050137358004E-2</v>
      </c>
      <c r="F291" s="56">
        <f>Pinus[[#This Row],[gi_m²]]*Pinus[[#This Row],[h_m]]*0.45</f>
        <v>0.23495946306178078</v>
      </c>
    </row>
    <row r="292" spans="1:6" x14ac:dyDescent="0.3">
      <c r="A292" s="37">
        <v>3</v>
      </c>
      <c r="B292" s="37">
        <v>91</v>
      </c>
      <c r="C292" s="55">
        <v>24.67</v>
      </c>
      <c r="D292" s="55">
        <v>16.350000000000001</v>
      </c>
      <c r="E292" s="56">
        <f>(PI()*(Pinus[[#This Row],[d_cm]]^2))/40000</f>
        <v>4.7800031228734136E-2</v>
      </c>
      <c r="F292" s="56">
        <f>Pinus[[#This Row],[gi_m²]]*Pinus[[#This Row],[h_m]]*0.45</f>
        <v>0.35168872976541143</v>
      </c>
    </row>
    <row r="293" spans="1:6" x14ac:dyDescent="0.3">
      <c r="A293" s="37">
        <v>3</v>
      </c>
      <c r="B293" s="37">
        <v>92</v>
      </c>
      <c r="C293" s="55">
        <v>24.22</v>
      </c>
      <c r="D293" s="55">
        <v>16.27</v>
      </c>
      <c r="E293" s="56">
        <f>(PI()*(Pinus[[#This Row],[d_cm]]^2))/40000</f>
        <v>4.6072115999351564E-2</v>
      </c>
      <c r="F293" s="56">
        <f>Pinus[[#This Row],[gi_m²]]*Pinus[[#This Row],[h_m]]*0.45</f>
        <v>0.33731699728925246</v>
      </c>
    </row>
    <row r="294" spans="1:6" x14ac:dyDescent="0.3">
      <c r="A294" s="37">
        <v>3</v>
      </c>
      <c r="B294" s="37">
        <v>93</v>
      </c>
      <c r="C294" s="55">
        <v>24.58</v>
      </c>
      <c r="D294" s="55">
        <v>16.329999999999998</v>
      </c>
      <c r="E294" s="56">
        <f>(PI()*(Pinus[[#This Row],[d_cm]]^2))/40000</f>
        <v>4.7451903492808201E-2</v>
      </c>
      <c r="F294" s="56">
        <f>Pinus[[#This Row],[gi_m²]]*Pinus[[#This Row],[h_m]]*0.45</f>
        <v>0.348700312816901</v>
      </c>
    </row>
    <row r="295" spans="1:6" x14ac:dyDescent="0.3">
      <c r="A295" s="37">
        <v>3</v>
      </c>
      <c r="B295" s="37">
        <v>94</v>
      </c>
      <c r="C295" s="55">
        <v>17.690000000000001</v>
      </c>
      <c r="D295" s="55">
        <v>14.86</v>
      </c>
      <c r="E295" s="56">
        <f>(PI()*(Pinus[[#This Row],[d_cm]]^2))/40000</f>
        <v>2.4577943820076026E-2</v>
      </c>
      <c r="F295" s="56">
        <f>Pinus[[#This Row],[gi_m²]]*Pinus[[#This Row],[h_m]]*0.45</f>
        <v>0.16435271032484838</v>
      </c>
    </row>
    <row r="296" spans="1:6" x14ac:dyDescent="0.3">
      <c r="A296" s="37">
        <v>3</v>
      </c>
      <c r="B296" s="37">
        <v>95</v>
      </c>
      <c r="C296" s="55">
        <v>28.01</v>
      </c>
      <c r="D296" s="55">
        <v>16.920000000000002</v>
      </c>
      <c r="E296" s="56">
        <f>(PI()*(Pinus[[#This Row],[d_cm]]^2))/40000</f>
        <v>6.1619206161491843E-2</v>
      </c>
      <c r="F296" s="56">
        <f>Pinus[[#This Row],[gi_m²]]*Pinus[[#This Row],[h_m]]*0.45</f>
        <v>0.46916863571359896</v>
      </c>
    </row>
    <row r="297" spans="1:6" x14ac:dyDescent="0.3">
      <c r="A297" s="37">
        <v>3</v>
      </c>
      <c r="B297" s="37">
        <v>96</v>
      </c>
      <c r="C297" s="55">
        <v>20.27</v>
      </c>
      <c r="D297" s="55">
        <v>15.47</v>
      </c>
      <c r="E297" s="56">
        <f>(PI()*(Pinus[[#This Row],[d_cm]]^2))/40000</f>
        <v>3.2269882104978345E-2</v>
      </c>
      <c r="F297" s="56">
        <f>Pinus[[#This Row],[gi_m²]]*Pinus[[#This Row],[h_m]]*0.45</f>
        <v>0.22464678427380674</v>
      </c>
    </row>
    <row r="298" spans="1:6" x14ac:dyDescent="0.3">
      <c r="A298" s="37">
        <v>3</v>
      </c>
      <c r="B298" s="37">
        <v>97</v>
      </c>
      <c r="C298" s="55">
        <v>27.47</v>
      </c>
      <c r="D298" s="55">
        <v>16.829999999999998</v>
      </c>
      <c r="E298" s="56">
        <f>(PI()*(Pinus[[#This Row],[d_cm]]^2))/40000</f>
        <v>5.9266216095806144E-2</v>
      </c>
      <c r="F298" s="56">
        <f>Pinus[[#This Row],[gi_m²]]*Pinus[[#This Row],[h_m]]*0.45</f>
        <v>0.44885268760158781</v>
      </c>
    </row>
    <row r="299" spans="1:6" x14ac:dyDescent="0.3">
      <c r="A299" s="37">
        <v>3</v>
      </c>
      <c r="B299" s="37">
        <v>98</v>
      </c>
      <c r="C299" s="55">
        <v>14.6</v>
      </c>
      <c r="D299" s="55">
        <v>13.99</v>
      </c>
      <c r="E299" s="56">
        <f>(PI()*(Pinus[[#This Row],[d_cm]]^2))/40000</f>
        <v>1.6741547250980007E-2</v>
      </c>
      <c r="F299" s="56">
        <f>Pinus[[#This Row],[gi_m²]]*Pinus[[#This Row],[h_m]]*0.45</f>
        <v>0.10539641071854464</v>
      </c>
    </row>
    <row r="300" spans="1:6" x14ac:dyDescent="0.3">
      <c r="A300" s="37">
        <v>3</v>
      </c>
      <c r="B300" s="37">
        <v>99</v>
      </c>
      <c r="C300" s="55">
        <v>20.079999999999998</v>
      </c>
      <c r="D300" s="55">
        <v>15.43</v>
      </c>
      <c r="E300" s="56">
        <f>(PI()*(Pinus[[#This Row],[d_cm]]^2))/40000</f>
        <v>3.1667756603009682E-2</v>
      </c>
      <c r="F300" s="56">
        <f>Pinus[[#This Row],[gi_m²]]*Pinus[[#This Row],[h_m]]*0.45</f>
        <v>0.21988506797299773</v>
      </c>
    </row>
    <row r="301" spans="1:6" x14ac:dyDescent="0.3">
      <c r="A301" s="37">
        <v>3</v>
      </c>
      <c r="B301" s="37">
        <v>100</v>
      </c>
      <c r="C301" s="55">
        <v>25</v>
      </c>
      <c r="D301" s="55">
        <v>16.41</v>
      </c>
      <c r="E301" s="56">
        <f>(PI()*(Pinus[[#This Row],[d_cm]]^2))/40000</f>
        <v>4.9087385212340517E-2</v>
      </c>
      <c r="F301" s="56">
        <f>Pinus[[#This Row],[gi_m²]]*Pinus[[#This Row],[h_m]]*0.45</f>
        <v>0.36248579610052856</v>
      </c>
    </row>
    <row r="302" spans="1:6" x14ac:dyDescent="0.3">
      <c r="A302" s="37">
        <v>4</v>
      </c>
      <c r="B302" s="37">
        <v>1</v>
      </c>
      <c r="C302" s="55">
        <v>17.14</v>
      </c>
      <c r="D302" s="55">
        <v>15.74</v>
      </c>
      <c r="E302" s="56">
        <f>(PI()*(Pinus[[#This Row],[d_cm]]^2))/40000</f>
        <v>2.3073395828363701E-2</v>
      </c>
      <c r="F302" s="56">
        <f>Pinus[[#This Row],[gi_m²]]*Pinus[[#This Row],[h_m]]*0.45</f>
        <v>0.16342886265230011</v>
      </c>
    </row>
    <row r="303" spans="1:6" x14ac:dyDescent="0.3">
      <c r="A303" s="37">
        <v>4</v>
      </c>
      <c r="B303" s="37">
        <v>2</v>
      </c>
      <c r="C303" s="55">
        <v>16.989999999999998</v>
      </c>
      <c r="D303" s="55">
        <v>15.7</v>
      </c>
      <c r="E303" s="56">
        <f>(PI()*(Pinus[[#This Row],[d_cm]]^2))/40000</f>
        <v>2.2671311238612372E-2</v>
      </c>
      <c r="F303" s="56">
        <f>Pinus[[#This Row],[gi_m²]]*Pinus[[#This Row],[h_m]]*0.45</f>
        <v>0.16017281390079641</v>
      </c>
    </row>
    <row r="304" spans="1:6" x14ac:dyDescent="0.3">
      <c r="A304" s="37">
        <v>4</v>
      </c>
      <c r="B304" s="37">
        <v>3</v>
      </c>
      <c r="C304" s="55">
        <v>16.25</v>
      </c>
      <c r="D304" s="55">
        <v>15.48</v>
      </c>
      <c r="E304" s="56">
        <f>(PI()*(Pinus[[#This Row],[d_cm]]^2))/40000</f>
        <v>2.0739420252213869E-2</v>
      </c>
      <c r="F304" s="56">
        <f>Pinus[[#This Row],[gi_m²]]*Pinus[[#This Row],[h_m]]*0.45</f>
        <v>0.14447080147692182</v>
      </c>
    </row>
    <row r="305" spans="1:6" x14ac:dyDescent="0.3">
      <c r="A305" s="37">
        <v>4</v>
      </c>
      <c r="B305" s="37">
        <v>4</v>
      </c>
      <c r="C305" s="55">
        <v>15.79</v>
      </c>
      <c r="D305" s="55">
        <v>15.35</v>
      </c>
      <c r="E305" s="56">
        <f>(PI()*(Pinus[[#This Row],[d_cm]]^2))/40000</f>
        <v>1.9581869023072174E-2</v>
      </c>
      <c r="F305" s="56">
        <f>Pinus[[#This Row],[gi_m²]]*Pinus[[#This Row],[h_m]]*0.45</f>
        <v>0.13526176027687103</v>
      </c>
    </row>
    <row r="306" spans="1:6" x14ac:dyDescent="0.3">
      <c r="A306" s="37">
        <v>4</v>
      </c>
      <c r="B306" s="37">
        <v>5</v>
      </c>
      <c r="C306" s="55">
        <v>18.25</v>
      </c>
      <c r="D306" s="55">
        <v>16.04</v>
      </c>
      <c r="E306" s="56">
        <f>(PI()*(Pinus[[#This Row],[d_cm]]^2))/40000</f>
        <v>2.6158667579656264E-2</v>
      </c>
      <c r="F306" s="56">
        <f>Pinus[[#This Row],[gi_m²]]*Pinus[[#This Row],[h_m]]*0.45</f>
        <v>0.1888132625899589</v>
      </c>
    </row>
    <row r="307" spans="1:6" x14ac:dyDescent="0.3">
      <c r="A307" s="37">
        <v>4</v>
      </c>
      <c r="B307" s="37">
        <v>6</v>
      </c>
      <c r="C307" s="55">
        <v>21.32</v>
      </c>
      <c r="D307" s="55">
        <v>16.79</v>
      </c>
      <c r="E307" s="56">
        <f>(PI()*(Pinus[[#This Row],[d_cm]]^2))/40000</f>
        <v>3.5699676614626828E-2</v>
      </c>
      <c r="F307" s="56">
        <f>Pinus[[#This Row],[gi_m²]]*Pinus[[#This Row],[h_m]]*0.45</f>
        <v>0.26972890666181298</v>
      </c>
    </row>
    <row r="308" spans="1:6" x14ac:dyDescent="0.3">
      <c r="A308" s="37">
        <v>4</v>
      </c>
      <c r="B308" s="37">
        <v>7</v>
      </c>
      <c r="C308" s="55">
        <v>11.94</v>
      </c>
      <c r="D308" s="55">
        <v>14</v>
      </c>
      <c r="E308" s="56">
        <f>(PI()*(Pinus[[#This Row],[d_cm]]^2))/40000</f>
        <v>1.1196918960732844E-2</v>
      </c>
      <c r="F308" s="56">
        <f>Pinus[[#This Row],[gi_m²]]*Pinus[[#This Row],[h_m]]*0.45</f>
        <v>7.0540589452616917E-2</v>
      </c>
    </row>
    <row r="309" spans="1:6" x14ac:dyDescent="0.3">
      <c r="A309" s="37">
        <v>4</v>
      </c>
      <c r="B309" s="37">
        <v>8</v>
      </c>
      <c r="C309" s="55">
        <v>20.85</v>
      </c>
      <c r="D309" s="55">
        <v>16.68</v>
      </c>
      <c r="E309" s="56">
        <f>(PI()*(Pinus[[#This Row],[d_cm]]^2))/40000</f>
        <v>3.4143025308754731E-2</v>
      </c>
      <c r="F309" s="56">
        <f>Pinus[[#This Row],[gi_m²]]*Pinus[[#This Row],[h_m]]*0.45</f>
        <v>0.25627754796751301</v>
      </c>
    </row>
    <row r="310" spans="1:6" x14ac:dyDescent="0.3">
      <c r="A310" s="37">
        <v>4</v>
      </c>
      <c r="B310" s="37">
        <v>9</v>
      </c>
      <c r="C310" s="55">
        <v>24.95</v>
      </c>
      <c r="D310" s="55">
        <v>17.54</v>
      </c>
      <c r="E310" s="56">
        <f>(PI()*(Pinus[[#This Row],[d_cm]]^2))/40000</f>
        <v>4.8891232021032002E-2</v>
      </c>
      <c r="F310" s="56">
        <f>Pinus[[#This Row],[gi_m²]]*Pinus[[#This Row],[h_m]]*0.45</f>
        <v>0.38589849434200563</v>
      </c>
    </row>
    <row r="311" spans="1:6" x14ac:dyDescent="0.3">
      <c r="A311" s="37">
        <v>4</v>
      </c>
      <c r="B311" s="37">
        <v>10</v>
      </c>
      <c r="C311" s="55">
        <v>28.15</v>
      </c>
      <c r="D311" s="55">
        <v>18.12</v>
      </c>
      <c r="E311" s="56">
        <f>(PI()*(Pinus[[#This Row],[d_cm]]^2))/40000</f>
        <v>6.2236717613481436E-2</v>
      </c>
      <c r="F311" s="56">
        <f>Pinus[[#This Row],[gi_m²]]*Pinus[[#This Row],[h_m]]*0.45</f>
        <v>0.50747819542032768</v>
      </c>
    </row>
    <row r="312" spans="1:6" x14ac:dyDescent="0.3">
      <c r="A312" s="37">
        <v>4</v>
      </c>
      <c r="B312" s="37">
        <v>11</v>
      </c>
      <c r="C312" s="55">
        <v>25.2</v>
      </c>
      <c r="D312" s="55">
        <v>17.59</v>
      </c>
      <c r="E312" s="56">
        <f>(PI()*(Pinus[[#This Row],[d_cm]]^2))/40000</f>
        <v>4.987592496839155E-2</v>
      </c>
      <c r="F312" s="56">
        <f>Pinus[[#This Row],[gi_m²]]*Pinus[[#This Row],[h_m]]*0.45</f>
        <v>0.39479288408730329</v>
      </c>
    </row>
    <row r="313" spans="1:6" x14ac:dyDescent="0.3">
      <c r="A313" s="37">
        <v>4</v>
      </c>
      <c r="B313" s="37">
        <v>12</v>
      </c>
      <c r="C313" s="55">
        <v>23.03</v>
      </c>
      <c r="D313" s="55">
        <v>17.16</v>
      </c>
      <c r="E313" s="56">
        <f>(PI()*(Pinus[[#This Row],[d_cm]]^2))/40000</f>
        <v>4.1656018476108565E-2</v>
      </c>
      <c r="F313" s="56">
        <f>Pinus[[#This Row],[gi_m²]]*Pinus[[#This Row],[h_m]]*0.45</f>
        <v>0.32166777467251034</v>
      </c>
    </row>
    <row r="314" spans="1:6" x14ac:dyDescent="0.3">
      <c r="A314" s="37">
        <v>4</v>
      </c>
      <c r="B314" s="37">
        <v>13</v>
      </c>
      <c r="C314" s="55">
        <v>13.09</v>
      </c>
      <c r="D314" s="55">
        <v>14.44</v>
      </c>
      <c r="E314" s="56">
        <f>(PI()*(Pinus[[#This Row],[d_cm]]^2))/40000</f>
        <v>1.3457648304164229E-2</v>
      </c>
      <c r="F314" s="56">
        <f>Pinus[[#This Row],[gi_m²]]*Pinus[[#This Row],[h_m]]*0.45</f>
        <v>8.7447798680459168E-2</v>
      </c>
    </row>
    <row r="315" spans="1:6" x14ac:dyDescent="0.3">
      <c r="A315" s="37">
        <v>4</v>
      </c>
      <c r="B315" s="37">
        <v>14</v>
      </c>
      <c r="C315" s="55">
        <v>17.59</v>
      </c>
      <c r="D315" s="55">
        <v>15.87</v>
      </c>
      <c r="E315" s="56">
        <f>(PI()*(Pinus[[#This Row],[d_cm]]^2))/40000</f>
        <v>2.43008553480294E-2</v>
      </c>
      <c r="F315" s="56">
        <f>Pinus[[#This Row],[gi_m²]]*Pinus[[#This Row],[h_m]]*0.45</f>
        <v>0.17354455846795197</v>
      </c>
    </row>
    <row r="316" spans="1:6" x14ac:dyDescent="0.3">
      <c r="A316" s="37">
        <v>4</v>
      </c>
      <c r="B316" s="37">
        <v>15</v>
      </c>
      <c r="C316" s="55">
        <v>18.59</v>
      </c>
      <c r="D316" s="55">
        <v>16.13</v>
      </c>
      <c r="E316" s="56">
        <f>(PI()*(Pinus[[#This Row],[d_cm]]^2))/40000</f>
        <v>2.7142425903201369E-2</v>
      </c>
      <c r="F316" s="56">
        <f>Pinus[[#This Row],[gi_m²]]*Pinus[[#This Row],[h_m]]*0.45</f>
        <v>0.19701329841838713</v>
      </c>
    </row>
    <row r="317" spans="1:6" x14ac:dyDescent="0.3">
      <c r="A317" s="37">
        <v>4</v>
      </c>
      <c r="B317" s="37">
        <v>16</v>
      </c>
      <c r="C317" s="55">
        <v>22.81</v>
      </c>
      <c r="D317" s="55">
        <v>17.11</v>
      </c>
      <c r="E317" s="56">
        <f>(PI()*(Pinus[[#This Row],[d_cm]]^2))/40000</f>
        <v>4.0863960136285502E-2</v>
      </c>
      <c r="F317" s="56">
        <f>Pinus[[#This Row],[gi_m²]]*Pinus[[#This Row],[h_m]]*0.45</f>
        <v>0.31463206106933023</v>
      </c>
    </row>
    <row r="318" spans="1:6" x14ac:dyDescent="0.3">
      <c r="A318" s="37">
        <v>4</v>
      </c>
      <c r="B318" s="37">
        <v>17</v>
      </c>
      <c r="C318" s="55">
        <v>19.579999999999998</v>
      </c>
      <c r="D318" s="55">
        <v>16.38</v>
      </c>
      <c r="E318" s="56">
        <f>(PI()*(Pinus[[#This Row],[d_cm]]^2))/40000</f>
        <v>3.0110312044992541E-2</v>
      </c>
      <c r="F318" s="56">
        <f>Pinus[[#This Row],[gi_m²]]*Pinus[[#This Row],[h_m]]*0.45</f>
        <v>0.22194311008364001</v>
      </c>
    </row>
    <row r="319" spans="1:6" x14ac:dyDescent="0.3">
      <c r="A319" s="37">
        <v>4</v>
      </c>
      <c r="B319" s="37">
        <v>18</v>
      </c>
      <c r="C319" s="55">
        <v>14.97</v>
      </c>
      <c r="D319" s="55">
        <v>15.09</v>
      </c>
      <c r="E319" s="56">
        <f>(PI()*(Pinus[[#This Row],[d_cm]]^2))/40000</f>
        <v>1.7600843527571523E-2</v>
      </c>
      <c r="F319" s="56">
        <f>Pinus[[#This Row],[gi_m²]]*Pinus[[#This Row],[h_m]]*0.45</f>
        <v>0.11951852797397443</v>
      </c>
    </row>
    <row r="320" spans="1:6" x14ac:dyDescent="0.3">
      <c r="A320" s="37">
        <v>4</v>
      </c>
      <c r="B320" s="37">
        <v>19</v>
      </c>
      <c r="C320" s="55">
        <v>26.74</v>
      </c>
      <c r="D320" s="55">
        <v>17.88</v>
      </c>
      <c r="E320" s="56">
        <f>(PI()*(Pinus[[#This Row],[d_cm]]^2))/40000</f>
        <v>5.6158136381848522E-2</v>
      </c>
      <c r="F320" s="56">
        <f>Pinus[[#This Row],[gi_m²]]*Pinus[[#This Row],[h_m]]*0.45</f>
        <v>0.45184836532835321</v>
      </c>
    </row>
    <row r="321" spans="1:6" x14ac:dyDescent="0.3">
      <c r="A321" s="37">
        <v>4</v>
      </c>
      <c r="B321" s="37">
        <v>20</v>
      </c>
      <c r="C321" s="55">
        <v>23.65</v>
      </c>
      <c r="D321" s="55">
        <v>17.29</v>
      </c>
      <c r="E321" s="56">
        <f>(PI()*(Pinus[[#This Row],[d_cm]]^2))/40000</f>
        <v>4.3929086424686917E-2</v>
      </c>
      <c r="F321" s="56">
        <f>Pinus[[#This Row],[gi_m²]]*Pinus[[#This Row],[h_m]]*0.45</f>
        <v>0.34179025692727655</v>
      </c>
    </row>
    <row r="322" spans="1:6" x14ac:dyDescent="0.3">
      <c r="A322" s="37">
        <v>4</v>
      </c>
      <c r="B322" s="37">
        <v>21</v>
      </c>
      <c r="C322" s="55">
        <v>20.95</v>
      </c>
      <c r="D322" s="55">
        <v>16.7</v>
      </c>
      <c r="E322" s="56">
        <f>(PI()*(Pinus[[#This Row],[d_cm]]^2))/40000</f>
        <v>3.4471321741054849E-2</v>
      </c>
      <c r="F322" s="56">
        <f>Pinus[[#This Row],[gi_m²]]*Pinus[[#This Row],[h_m]]*0.45</f>
        <v>0.2590519828840272</v>
      </c>
    </row>
    <row r="323" spans="1:6" x14ac:dyDescent="0.3">
      <c r="A323" s="37">
        <v>4</v>
      </c>
      <c r="B323" s="37">
        <v>22</v>
      </c>
      <c r="C323" s="55">
        <v>24.87</v>
      </c>
      <c r="D323" s="55">
        <v>17.53</v>
      </c>
      <c r="E323" s="56">
        <f>(PI()*(Pinus[[#This Row],[d_cm]]^2))/40000</f>
        <v>4.8578203729028324E-2</v>
      </c>
      <c r="F323" s="56">
        <f>Pinus[[#This Row],[gi_m²]]*Pinus[[#This Row],[h_m]]*0.45</f>
        <v>0.38320916011643996</v>
      </c>
    </row>
    <row r="324" spans="1:6" x14ac:dyDescent="0.3">
      <c r="A324" s="37">
        <v>4</v>
      </c>
      <c r="B324" s="37">
        <v>23</v>
      </c>
      <c r="C324" s="55">
        <v>14.64</v>
      </c>
      <c r="D324" s="55">
        <v>14.98</v>
      </c>
      <c r="E324" s="56">
        <f>(PI()*(Pinus[[#This Row],[d_cm]]^2))/40000</f>
        <v>1.6833407420170973E-2</v>
      </c>
      <c r="F324" s="56">
        <f>Pinus[[#This Row],[gi_m²]]*Pinus[[#This Row],[h_m]]*0.45</f>
        <v>0.11347399941937254</v>
      </c>
    </row>
    <row r="325" spans="1:6" x14ac:dyDescent="0.3">
      <c r="A325" s="37">
        <v>4</v>
      </c>
      <c r="B325" s="37">
        <v>24</v>
      </c>
      <c r="C325" s="55">
        <v>22.64</v>
      </c>
      <c r="D325" s="55">
        <v>17.079999999999998</v>
      </c>
      <c r="E325" s="56">
        <f>(PI()*(Pinus[[#This Row],[d_cm]]^2))/40000</f>
        <v>4.0257122245336473E-2</v>
      </c>
      <c r="F325" s="56">
        <f>Pinus[[#This Row],[gi_m²]]*Pinus[[#This Row],[h_m]]*0.45</f>
        <v>0.30941624157765613</v>
      </c>
    </row>
    <row r="326" spans="1:6" x14ac:dyDescent="0.3">
      <c r="A326" s="37">
        <v>4</v>
      </c>
      <c r="B326" s="37">
        <v>25</v>
      </c>
      <c r="C326" s="55">
        <v>17.91</v>
      </c>
      <c r="D326" s="55">
        <v>15.95</v>
      </c>
      <c r="E326" s="56">
        <f>(PI()*(Pinus[[#This Row],[d_cm]]^2))/40000</f>
        <v>2.5193067661648902E-2</v>
      </c>
      <c r="F326" s="56">
        <f>Pinus[[#This Row],[gi_m²]]*Pinus[[#This Row],[h_m]]*0.45</f>
        <v>0.18082324314148499</v>
      </c>
    </row>
    <row r="327" spans="1:6" x14ac:dyDescent="0.3">
      <c r="A327" s="37">
        <v>4</v>
      </c>
      <c r="B327" s="37">
        <v>26</v>
      </c>
      <c r="C327" s="55">
        <v>22.73</v>
      </c>
      <c r="D327" s="55">
        <v>17.100000000000001</v>
      </c>
      <c r="E327" s="56">
        <f>(PI()*(Pinus[[#This Row],[d_cm]]^2))/40000</f>
        <v>4.0577823877396557E-2</v>
      </c>
      <c r="F327" s="56">
        <f>Pinus[[#This Row],[gi_m²]]*Pinus[[#This Row],[h_m]]*0.45</f>
        <v>0.31224635473656653</v>
      </c>
    </row>
    <row r="328" spans="1:6" x14ac:dyDescent="0.3">
      <c r="A328" s="37">
        <v>4</v>
      </c>
      <c r="B328" s="37">
        <v>27</v>
      </c>
      <c r="C328" s="55">
        <v>19.760000000000002</v>
      </c>
      <c r="D328" s="55">
        <v>16.420000000000002</v>
      </c>
      <c r="E328" s="56">
        <f>(PI()*(Pinus[[#This Row],[d_cm]]^2))/40000</f>
        <v>3.0666468192457559E-2</v>
      </c>
      <c r="F328" s="56">
        <f>Pinus[[#This Row],[gi_m²]]*Pinus[[#This Row],[h_m]]*0.45</f>
        <v>0.22659453347406894</v>
      </c>
    </row>
    <row r="329" spans="1:6" x14ac:dyDescent="0.3">
      <c r="A329" s="37">
        <v>4</v>
      </c>
      <c r="B329" s="37">
        <v>28</v>
      </c>
      <c r="C329" s="55">
        <v>22.53</v>
      </c>
      <c r="D329" s="55">
        <v>17.05</v>
      </c>
      <c r="E329" s="56">
        <f>(PI()*(Pinus[[#This Row],[d_cm]]^2))/40000</f>
        <v>3.9866881459889182E-2</v>
      </c>
      <c r="F329" s="56">
        <f>Pinus[[#This Row],[gi_m²]]*Pinus[[#This Row],[h_m]]*0.45</f>
        <v>0.30587864800099979</v>
      </c>
    </row>
    <row r="330" spans="1:6" x14ac:dyDescent="0.3">
      <c r="A330" s="37">
        <v>4</v>
      </c>
      <c r="B330" s="37">
        <v>29</v>
      </c>
      <c r="C330" s="55">
        <v>25.34</v>
      </c>
      <c r="D330" s="55">
        <v>17.62</v>
      </c>
      <c r="E330" s="56">
        <f>(PI()*(Pinus[[#This Row],[d_cm]]^2))/40000</f>
        <v>5.0431641292885056E-2</v>
      </c>
      <c r="F330" s="56">
        <f>Pinus[[#This Row],[gi_m²]]*Pinus[[#This Row],[h_m]]*0.45</f>
        <v>0.39987248381128565</v>
      </c>
    </row>
    <row r="331" spans="1:6" x14ac:dyDescent="0.3">
      <c r="A331" s="37">
        <v>4</v>
      </c>
      <c r="B331" s="37">
        <v>30</v>
      </c>
      <c r="C331" s="55">
        <v>20.03</v>
      </c>
      <c r="D331" s="55">
        <v>16.489999999999998</v>
      </c>
      <c r="E331" s="56">
        <f>(PI()*(Pinus[[#This Row],[d_cm]]^2))/40000</f>
        <v>3.1510245001340337E-2</v>
      </c>
      <c r="F331" s="56">
        <f>Pinus[[#This Row],[gi_m²]]*Pinus[[#This Row],[h_m]]*0.45</f>
        <v>0.23382177303244595</v>
      </c>
    </row>
    <row r="332" spans="1:6" x14ac:dyDescent="0.3">
      <c r="A332" s="37">
        <v>4</v>
      </c>
      <c r="B332" s="37">
        <v>31</v>
      </c>
      <c r="C332" s="55">
        <v>24.07</v>
      </c>
      <c r="D332" s="55">
        <v>17.37</v>
      </c>
      <c r="E332" s="56">
        <f>(PI()*(Pinus[[#This Row],[d_cm]]^2))/40000</f>
        <v>4.5503212839694628E-2</v>
      </c>
      <c r="F332" s="56">
        <f>Pinus[[#This Row],[gi_m²]]*Pinus[[#This Row],[h_m]]*0.45</f>
        <v>0.35567586316147309</v>
      </c>
    </row>
    <row r="333" spans="1:6" x14ac:dyDescent="0.3">
      <c r="A333" s="37">
        <v>4</v>
      </c>
      <c r="B333" s="37">
        <v>32</v>
      </c>
      <c r="C333" s="55">
        <v>15.25</v>
      </c>
      <c r="D333" s="55">
        <v>15.18</v>
      </c>
      <c r="E333" s="56">
        <f>(PI()*(Pinus[[#This Row],[d_cm]]^2))/40000</f>
        <v>1.8265416037511906E-2</v>
      </c>
      <c r="F333" s="56">
        <f>Pinus[[#This Row],[gi_m²]]*Pinus[[#This Row],[h_m]]*0.45</f>
        <v>0.12477105695224383</v>
      </c>
    </row>
    <row r="334" spans="1:6" x14ac:dyDescent="0.3">
      <c r="A334" s="37">
        <v>4</v>
      </c>
      <c r="B334" s="37">
        <v>33</v>
      </c>
      <c r="C334" s="55">
        <v>17.11</v>
      </c>
      <c r="D334" s="55">
        <v>15.73</v>
      </c>
      <c r="E334" s="56">
        <f>(PI()*(Pinus[[#This Row],[d_cm]]^2))/40000</f>
        <v>2.2992696167074611E-2</v>
      </c>
      <c r="F334" s="56">
        <f>Pinus[[#This Row],[gi_m²]]*Pinus[[#This Row],[h_m]]*0.45</f>
        <v>0.16275379981863766</v>
      </c>
    </row>
    <row r="335" spans="1:6" x14ac:dyDescent="0.3">
      <c r="A335" s="37">
        <v>4</v>
      </c>
      <c r="B335" s="37">
        <v>34</v>
      </c>
      <c r="C335" s="55">
        <v>26.08</v>
      </c>
      <c r="D335" s="55">
        <v>17.760000000000002</v>
      </c>
      <c r="E335" s="56">
        <f>(PI()*(Pinus[[#This Row],[d_cm]]^2))/40000</f>
        <v>5.3420144136465411E-2</v>
      </c>
      <c r="F335" s="56">
        <f>Pinus[[#This Row],[gi_m²]]*Pinus[[#This Row],[h_m]]*0.45</f>
        <v>0.42693379193863157</v>
      </c>
    </row>
    <row r="336" spans="1:6" x14ac:dyDescent="0.3">
      <c r="A336" s="37">
        <v>4</v>
      </c>
      <c r="B336" s="37">
        <v>35</v>
      </c>
      <c r="C336" s="55">
        <v>21.51</v>
      </c>
      <c r="D336" s="55">
        <v>16.829999999999998</v>
      </c>
      <c r="E336" s="56">
        <f>(PI()*(Pinus[[#This Row],[d_cm]]^2))/40000</f>
        <v>3.6338810078054777E-2</v>
      </c>
      <c r="F336" s="56">
        <f>Pinus[[#This Row],[gi_m²]]*Pinus[[#This Row],[h_m]]*0.45</f>
        <v>0.27521197812614784</v>
      </c>
    </row>
    <row r="337" spans="1:6" x14ac:dyDescent="0.3">
      <c r="A337" s="37">
        <v>4</v>
      </c>
      <c r="B337" s="37">
        <v>36</v>
      </c>
      <c r="C337" s="55">
        <v>11.79</v>
      </c>
      <c r="D337" s="55">
        <v>13.94</v>
      </c>
      <c r="E337" s="56">
        <f>(PI()*(Pinus[[#This Row],[d_cm]]^2))/40000</f>
        <v>1.0917356484471523E-2</v>
      </c>
      <c r="F337" s="56">
        <f>Pinus[[#This Row],[gi_m²]]*Pinus[[#This Row],[h_m]]*0.45</f>
        <v>6.8484577227089866E-2</v>
      </c>
    </row>
    <row r="338" spans="1:6" x14ac:dyDescent="0.3">
      <c r="A338" s="37">
        <v>4</v>
      </c>
      <c r="B338" s="37">
        <v>37</v>
      </c>
      <c r="C338" s="55">
        <v>14.54</v>
      </c>
      <c r="D338" s="55">
        <v>14.95</v>
      </c>
      <c r="E338" s="56">
        <f>(PI()*(Pinus[[#This Row],[d_cm]]^2))/40000</f>
        <v>1.6604228236091596E-2</v>
      </c>
      <c r="F338" s="56">
        <f>Pinus[[#This Row],[gi_m²]]*Pinus[[#This Row],[h_m]]*0.45</f>
        <v>0.11170494545830621</v>
      </c>
    </row>
    <row r="339" spans="1:6" x14ac:dyDescent="0.3">
      <c r="A339" s="37">
        <v>4</v>
      </c>
      <c r="B339" s="37">
        <v>38</v>
      </c>
      <c r="C339" s="55">
        <v>19.2</v>
      </c>
      <c r="D339" s="55">
        <v>16.28</v>
      </c>
      <c r="E339" s="56">
        <f>(PI()*(Pinus[[#This Row],[d_cm]]^2))/40000</f>
        <v>2.8952917895483536E-2</v>
      </c>
      <c r="F339" s="56">
        <f>Pinus[[#This Row],[gi_m²]]*Pinus[[#This Row],[h_m]]*0.45</f>
        <v>0.21210907650231239</v>
      </c>
    </row>
    <row r="340" spans="1:6" x14ac:dyDescent="0.3">
      <c r="A340" s="37">
        <v>4</v>
      </c>
      <c r="B340" s="37">
        <v>39</v>
      </c>
      <c r="C340" s="55">
        <v>23.46</v>
      </c>
      <c r="D340" s="55">
        <v>17.25</v>
      </c>
      <c r="E340" s="56">
        <f>(PI()*(Pinus[[#This Row],[d_cm]]^2))/40000</f>
        <v>4.322608438261151E-2</v>
      </c>
      <c r="F340" s="56">
        <f>Pinus[[#This Row],[gi_m²]]*Pinus[[#This Row],[h_m]]*0.45</f>
        <v>0.33554248002002185</v>
      </c>
    </row>
    <row r="341" spans="1:6" x14ac:dyDescent="0.3">
      <c r="A341" s="37">
        <v>4</v>
      </c>
      <c r="B341" s="37">
        <v>40</v>
      </c>
      <c r="C341" s="55">
        <v>19.59</v>
      </c>
      <c r="D341" s="55">
        <v>16.38</v>
      </c>
      <c r="E341" s="56">
        <f>(PI()*(Pinus[[#This Row],[d_cm]]^2))/40000</f>
        <v>3.0141076091052828E-2</v>
      </c>
      <c r="F341" s="56">
        <f>Pinus[[#This Row],[gi_m²]]*Pinus[[#This Row],[h_m]]*0.45</f>
        <v>0.2221698718671504</v>
      </c>
    </row>
    <row r="342" spans="1:6" x14ac:dyDescent="0.3">
      <c r="A342" s="37">
        <v>4</v>
      </c>
      <c r="B342" s="37">
        <v>41</v>
      </c>
      <c r="C342" s="55">
        <v>22.5</v>
      </c>
      <c r="D342" s="55">
        <v>17.05</v>
      </c>
      <c r="E342" s="56">
        <f>(PI()*(Pinus[[#This Row],[d_cm]]^2))/40000</f>
        <v>3.9760782021995816E-2</v>
      </c>
      <c r="F342" s="56">
        <f>Pinus[[#This Row],[gi_m²]]*Pinus[[#This Row],[h_m]]*0.45</f>
        <v>0.3050646000637629</v>
      </c>
    </row>
    <row r="343" spans="1:6" x14ac:dyDescent="0.3">
      <c r="A343" s="37">
        <v>4</v>
      </c>
      <c r="B343" s="37">
        <v>42</v>
      </c>
      <c r="C343" s="55">
        <v>23.84</v>
      </c>
      <c r="D343" s="55">
        <v>17.32</v>
      </c>
      <c r="E343" s="56">
        <f>(PI()*(Pinus[[#This Row],[d_cm]]^2))/40000</f>
        <v>4.4637759041502079E-2</v>
      </c>
      <c r="F343" s="56">
        <f>Pinus[[#This Row],[gi_m²]]*Pinus[[#This Row],[h_m]]*0.45</f>
        <v>0.34790669396946722</v>
      </c>
    </row>
    <row r="344" spans="1:6" x14ac:dyDescent="0.3">
      <c r="A344" s="37">
        <v>4</v>
      </c>
      <c r="B344" s="37">
        <v>43</v>
      </c>
      <c r="C344" s="55">
        <v>26.68</v>
      </c>
      <c r="D344" s="55">
        <v>17.87</v>
      </c>
      <c r="E344" s="56">
        <f>(PI()*(Pinus[[#This Row],[d_cm]]^2))/40000</f>
        <v>5.5906400562516376E-2</v>
      </c>
      <c r="F344" s="56">
        <f>Pinus[[#This Row],[gi_m²]]*Pinus[[#This Row],[h_m]]*0.45</f>
        <v>0.44957132012347545</v>
      </c>
    </row>
    <row r="345" spans="1:6" x14ac:dyDescent="0.3">
      <c r="A345" s="37">
        <v>4</v>
      </c>
      <c r="B345" s="37">
        <v>44</v>
      </c>
      <c r="C345" s="55">
        <v>20.22</v>
      </c>
      <c r="D345" s="55">
        <v>16.53</v>
      </c>
      <c r="E345" s="56">
        <f>(PI()*(Pinus[[#This Row],[d_cm]]^2))/40000</f>
        <v>3.2110878246798528E-2</v>
      </c>
      <c r="F345" s="56">
        <f>Pinus[[#This Row],[gi_m²]]*Pinus[[#This Row],[h_m]]*0.45</f>
        <v>0.23885676783881088</v>
      </c>
    </row>
    <row r="346" spans="1:6" x14ac:dyDescent="0.3">
      <c r="A346" s="37">
        <v>4</v>
      </c>
      <c r="B346" s="37">
        <v>45</v>
      </c>
      <c r="C346" s="55">
        <v>19.79</v>
      </c>
      <c r="D346" s="55">
        <v>16.43</v>
      </c>
      <c r="E346" s="56">
        <f>(PI()*(Pinus[[#This Row],[d_cm]]^2))/40000</f>
        <v>3.0759655684544657E-2</v>
      </c>
      <c r="F346" s="56">
        <f>Pinus[[#This Row],[gi_m²]]*Pinus[[#This Row],[h_m]]*0.45</f>
        <v>0.22742151430368093</v>
      </c>
    </row>
    <row r="347" spans="1:6" x14ac:dyDescent="0.3">
      <c r="A347" s="37">
        <v>4</v>
      </c>
      <c r="B347" s="37">
        <v>46</v>
      </c>
      <c r="C347" s="55">
        <v>12.99</v>
      </c>
      <c r="D347" s="55">
        <v>14.41</v>
      </c>
      <c r="E347" s="56">
        <f>(PI()*(Pinus[[#This Row],[d_cm]]^2))/40000</f>
        <v>1.3252816463150177E-2</v>
      </c>
      <c r="F347" s="56">
        <f>Pinus[[#This Row],[gi_m²]]*Pinus[[#This Row],[h_m]]*0.45</f>
        <v>8.5937888355297323E-2</v>
      </c>
    </row>
    <row r="348" spans="1:6" x14ac:dyDescent="0.3">
      <c r="A348" s="37">
        <v>4</v>
      </c>
      <c r="B348" s="37">
        <v>47</v>
      </c>
      <c r="C348" s="55">
        <v>20.399999999999999</v>
      </c>
      <c r="D348" s="55">
        <v>16.579999999999998</v>
      </c>
      <c r="E348" s="56">
        <f>(PI()*(Pinus[[#This Row],[d_cm]]^2))/40000</f>
        <v>3.2685129967948208E-2</v>
      </c>
      <c r="F348" s="56">
        <f>Pinus[[#This Row],[gi_m²]]*Pinus[[#This Row],[h_m]]*0.45</f>
        <v>0.24386375469086158</v>
      </c>
    </row>
    <row r="349" spans="1:6" x14ac:dyDescent="0.3">
      <c r="A349" s="37">
        <v>4</v>
      </c>
      <c r="B349" s="37">
        <v>48</v>
      </c>
      <c r="C349" s="55">
        <v>17.71</v>
      </c>
      <c r="D349" s="55">
        <v>15.9</v>
      </c>
      <c r="E349" s="56">
        <f>(PI()*(Pinus[[#This Row],[d_cm]]^2))/40000</f>
        <v>2.4633550010044563E-2</v>
      </c>
      <c r="F349" s="56">
        <f>Pinus[[#This Row],[gi_m²]]*Pinus[[#This Row],[h_m]]*0.45</f>
        <v>0.17625305032186883</v>
      </c>
    </row>
    <row r="350" spans="1:6" x14ac:dyDescent="0.3">
      <c r="A350" s="37">
        <v>4</v>
      </c>
      <c r="B350" s="37">
        <v>49</v>
      </c>
      <c r="C350" s="55">
        <v>16.100000000000001</v>
      </c>
      <c r="D350" s="55">
        <v>15.44</v>
      </c>
      <c r="E350" s="56">
        <f>(PI()*(Pinus[[#This Row],[d_cm]]^2))/40000</f>
        <v>2.035830579342526E-2</v>
      </c>
      <c r="F350" s="56">
        <f>Pinus[[#This Row],[gi_m²]]*Pinus[[#This Row],[h_m]]*0.45</f>
        <v>0.14144950865271871</v>
      </c>
    </row>
    <row r="351" spans="1:6" x14ac:dyDescent="0.3">
      <c r="A351" s="37">
        <v>4</v>
      </c>
      <c r="B351" s="37">
        <v>50</v>
      </c>
      <c r="C351" s="55">
        <v>19.28</v>
      </c>
      <c r="D351" s="55">
        <v>16.3</v>
      </c>
      <c r="E351" s="56">
        <f>(PI()*(Pinus[[#This Row],[d_cm]]^2))/40000</f>
        <v>2.9194694866103803E-2</v>
      </c>
      <c r="F351" s="56">
        <f>Pinus[[#This Row],[gi_m²]]*Pinus[[#This Row],[h_m]]*0.45</f>
        <v>0.21414308684287142</v>
      </c>
    </row>
    <row r="352" spans="1:6" x14ac:dyDescent="0.3">
      <c r="A352" s="37">
        <v>4</v>
      </c>
      <c r="B352" s="37">
        <v>51</v>
      </c>
      <c r="C352" s="55">
        <v>24.06</v>
      </c>
      <c r="D352" s="55">
        <v>17.37</v>
      </c>
      <c r="E352" s="56">
        <f>(PI()*(Pinus[[#This Row],[d_cm]]^2))/40000</f>
        <v>4.5465411626090295E-2</v>
      </c>
      <c r="F352" s="56">
        <f>Pinus[[#This Row],[gi_m²]]*Pinus[[#This Row],[h_m]]*0.45</f>
        <v>0.35538038997533483</v>
      </c>
    </row>
    <row r="353" spans="1:6" x14ac:dyDescent="0.3">
      <c r="A353" s="37">
        <v>4</v>
      </c>
      <c r="B353" s="37">
        <v>52</v>
      </c>
      <c r="C353" s="55">
        <v>12.03</v>
      </c>
      <c r="D353" s="55">
        <v>14.04</v>
      </c>
      <c r="E353" s="56">
        <f>(PI()*(Pinus[[#This Row],[d_cm]]^2))/40000</f>
        <v>1.1366352906522574E-2</v>
      </c>
      <c r="F353" s="56">
        <f>Pinus[[#This Row],[gi_m²]]*Pinus[[#This Row],[h_m]]*0.45</f>
        <v>7.1812617663409614E-2</v>
      </c>
    </row>
    <row r="354" spans="1:6" x14ac:dyDescent="0.3">
      <c r="A354" s="37">
        <v>4</v>
      </c>
      <c r="B354" s="37">
        <v>53</v>
      </c>
      <c r="C354" s="55">
        <v>18.29</v>
      </c>
      <c r="D354" s="55">
        <v>16.05</v>
      </c>
      <c r="E354" s="56">
        <f>(PI()*(Pinus[[#This Row],[d_cm]]^2))/40000</f>
        <v>2.6273461375218431E-2</v>
      </c>
      <c r="F354" s="56">
        <f>Pinus[[#This Row],[gi_m²]]*Pinus[[#This Row],[h_m]]*0.45</f>
        <v>0.18976007478251514</v>
      </c>
    </row>
    <row r="355" spans="1:6" x14ac:dyDescent="0.3">
      <c r="A355" s="37">
        <v>4</v>
      </c>
      <c r="B355" s="37">
        <v>54</v>
      </c>
      <c r="C355" s="55">
        <v>20.47</v>
      </c>
      <c r="D355" s="55">
        <v>16.59</v>
      </c>
      <c r="E355" s="56">
        <f>(PI()*(Pinus[[#This Row],[d_cm]]^2))/40000</f>
        <v>3.2909824528514577E-2</v>
      </c>
      <c r="F355" s="56">
        <f>Pinus[[#This Row],[gi_m²]]*Pinus[[#This Row],[h_m]]*0.45</f>
        <v>0.24568829501762557</v>
      </c>
    </row>
    <row r="356" spans="1:6" x14ac:dyDescent="0.3">
      <c r="A356" s="37">
        <v>4</v>
      </c>
      <c r="B356" s="37">
        <v>55</v>
      </c>
      <c r="C356" s="55">
        <v>16.43</v>
      </c>
      <c r="D356" s="55">
        <v>15.54</v>
      </c>
      <c r="E356" s="56">
        <f>(PI()*(Pinus[[#This Row],[d_cm]]^2))/40000</f>
        <v>2.1201422867850785E-2</v>
      </c>
      <c r="F356" s="56">
        <f>Pinus[[#This Row],[gi_m²]]*Pinus[[#This Row],[h_m]]*0.45</f>
        <v>0.14826155011488054</v>
      </c>
    </row>
    <row r="357" spans="1:6" x14ac:dyDescent="0.3">
      <c r="A357" s="37">
        <v>4</v>
      </c>
      <c r="B357" s="37">
        <v>56</v>
      </c>
      <c r="C357" s="55">
        <v>21.34</v>
      </c>
      <c r="D357" s="55">
        <v>16.79</v>
      </c>
      <c r="E357" s="56">
        <f>(PI()*(Pinus[[#This Row],[d_cm]]^2))/40000</f>
        <v>3.5766686785927905E-2</v>
      </c>
      <c r="F357" s="56">
        <f>Pinus[[#This Row],[gi_m²]]*Pinus[[#This Row],[h_m]]*0.45</f>
        <v>0.27023520201107831</v>
      </c>
    </row>
    <row r="358" spans="1:6" x14ac:dyDescent="0.3">
      <c r="A358" s="37">
        <v>4</v>
      </c>
      <c r="B358" s="37">
        <v>57</v>
      </c>
      <c r="C358" s="55">
        <v>21.65</v>
      </c>
      <c r="D358" s="55">
        <v>16.86</v>
      </c>
      <c r="E358" s="56">
        <f>(PI()*(Pinus[[#This Row],[d_cm]]^2))/40000</f>
        <v>3.681337906430604E-2</v>
      </c>
      <c r="F358" s="56">
        <f>Pinus[[#This Row],[gi_m²]]*Pinus[[#This Row],[h_m]]*0.45</f>
        <v>0.27930310696088995</v>
      </c>
    </row>
    <row r="359" spans="1:6" x14ac:dyDescent="0.3">
      <c r="A359" s="37">
        <v>4</v>
      </c>
      <c r="B359" s="37">
        <v>58</v>
      </c>
      <c r="C359" s="55">
        <v>19.87</v>
      </c>
      <c r="D359" s="55">
        <v>16.45</v>
      </c>
      <c r="E359" s="56">
        <f>(PI()*(Pinus[[#This Row],[d_cm]]^2))/40000</f>
        <v>3.1008846813827404E-2</v>
      </c>
      <c r="F359" s="56">
        <f>Pinus[[#This Row],[gi_m²]]*Pinus[[#This Row],[h_m]]*0.45</f>
        <v>0.22954298853935737</v>
      </c>
    </row>
    <row r="360" spans="1:6" x14ac:dyDescent="0.3">
      <c r="A360" s="37">
        <v>4</v>
      </c>
      <c r="B360" s="37">
        <v>59</v>
      </c>
      <c r="C360" s="55">
        <v>10.14</v>
      </c>
      <c r="D360" s="55">
        <v>13.21</v>
      </c>
      <c r="E360" s="56">
        <f>(PI()*(Pinus[[#This Row],[d_cm]]^2))/40000</f>
        <v>8.0754325001260278E-3</v>
      </c>
      <c r="F360" s="56">
        <f>Pinus[[#This Row],[gi_m²]]*Pinus[[#This Row],[h_m]]*0.45</f>
        <v>4.8004408496999176E-2</v>
      </c>
    </row>
    <row r="361" spans="1:6" x14ac:dyDescent="0.3">
      <c r="A361" s="37">
        <v>4</v>
      </c>
      <c r="B361" s="37">
        <v>60</v>
      </c>
      <c r="C361" s="55">
        <v>30.29</v>
      </c>
      <c r="D361" s="55">
        <v>18.48</v>
      </c>
      <c r="E361" s="56">
        <f>(PI()*(Pinus[[#This Row],[d_cm]]^2))/40000</f>
        <v>7.2059032708636075E-2</v>
      </c>
      <c r="F361" s="56">
        <f>Pinus[[#This Row],[gi_m²]]*Pinus[[#This Row],[h_m]]*0.45</f>
        <v>0.59924291600501767</v>
      </c>
    </row>
    <row r="362" spans="1:6" x14ac:dyDescent="0.3">
      <c r="A362" s="37">
        <v>4</v>
      </c>
      <c r="B362" s="37">
        <v>61</v>
      </c>
      <c r="C362" s="55">
        <v>19.18</v>
      </c>
      <c r="D362" s="55">
        <v>16.28</v>
      </c>
      <c r="E362" s="56">
        <f>(PI()*(Pinus[[#This Row],[d_cm]]^2))/40000</f>
        <v>2.8892630732461146E-2</v>
      </c>
      <c r="F362" s="56">
        <f>Pinus[[#This Row],[gi_m²]]*Pinus[[#This Row],[h_m]]*0.45</f>
        <v>0.21166741274601039</v>
      </c>
    </row>
    <row r="363" spans="1:6" x14ac:dyDescent="0.3">
      <c r="A363" s="37">
        <v>4</v>
      </c>
      <c r="B363" s="37">
        <v>62</v>
      </c>
      <c r="C363" s="55">
        <v>22.6</v>
      </c>
      <c r="D363" s="55">
        <v>17.07</v>
      </c>
      <c r="E363" s="56">
        <f>(PI()*(Pinus[[#This Row],[d_cm]]^2))/40000</f>
        <v>4.0114996593688071E-2</v>
      </c>
      <c r="F363" s="56">
        <f>Pinus[[#This Row],[gi_m²]]*Pinus[[#This Row],[h_m]]*0.45</f>
        <v>0.30814334633441492</v>
      </c>
    </row>
    <row r="364" spans="1:6" x14ac:dyDescent="0.3">
      <c r="A364" s="37">
        <v>4</v>
      </c>
      <c r="B364" s="37">
        <v>63</v>
      </c>
      <c r="C364" s="55">
        <v>21.1</v>
      </c>
      <c r="D364" s="55">
        <v>16.739999999999998</v>
      </c>
      <c r="E364" s="56">
        <f>(PI()*(Pinus[[#This Row],[d_cm]]^2))/40000</f>
        <v>3.4966711632617796E-2</v>
      </c>
      <c r="F364" s="56">
        <f>Pinus[[#This Row],[gi_m²]]*Pinus[[#This Row],[h_m]]*0.45</f>
        <v>0.26340423872850988</v>
      </c>
    </row>
    <row r="365" spans="1:6" x14ac:dyDescent="0.3">
      <c r="A365" s="37">
        <v>4</v>
      </c>
      <c r="B365" s="37">
        <v>64</v>
      </c>
      <c r="C365" s="55">
        <v>24.1</v>
      </c>
      <c r="D365" s="55">
        <v>17.38</v>
      </c>
      <c r="E365" s="56">
        <f>(PI()*(Pinus[[#This Row],[d_cm]]^2))/40000</f>
        <v>4.5616710728287199E-2</v>
      </c>
      <c r="F365" s="56">
        <f>Pinus[[#This Row],[gi_m²]]*Pinus[[#This Row],[h_m]]*0.45</f>
        <v>0.35676829460593418</v>
      </c>
    </row>
    <row r="366" spans="1:6" x14ac:dyDescent="0.3">
      <c r="A366" s="37">
        <v>4</v>
      </c>
      <c r="B366" s="37">
        <v>65</v>
      </c>
      <c r="C366" s="55">
        <v>23.27</v>
      </c>
      <c r="D366" s="55">
        <v>17.21</v>
      </c>
      <c r="E366" s="56">
        <f>(PI()*(Pinus[[#This Row],[d_cm]]^2))/40000</f>
        <v>4.252875291527581E-2</v>
      </c>
      <c r="F366" s="56">
        <f>Pinus[[#This Row],[gi_m²]]*Pinus[[#This Row],[h_m]]*0.45</f>
        <v>0.32936392695235356</v>
      </c>
    </row>
    <row r="367" spans="1:6" x14ac:dyDescent="0.3">
      <c r="A367" s="37">
        <v>4</v>
      </c>
      <c r="B367" s="37">
        <v>66</v>
      </c>
      <c r="C367" s="55">
        <v>19.16</v>
      </c>
      <c r="D367" s="55">
        <v>16.28</v>
      </c>
      <c r="E367" s="56">
        <f>(PI()*(Pinus[[#This Row],[d_cm]]^2))/40000</f>
        <v>2.8832406401291824E-2</v>
      </c>
      <c r="F367" s="56">
        <f>Pinus[[#This Row],[gi_m²]]*Pinus[[#This Row],[h_m]]*0.45</f>
        <v>0.21122620929586391</v>
      </c>
    </row>
    <row r="368" spans="1:6" x14ac:dyDescent="0.3">
      <c r="A368" s="37">
        <v>4</v>
      </c>
      <c r="B368" s="37">
        <v>67</v>
      </c>
      <c r="C368" s="55">
        <v>21.51</v>
      </c>
      <c r="D368" s="55">
        <v>16.829999999999998</v>
      </c>
      <c r="E368" s="56">
        <f>(PI()*(Pinus[[#This Row],[d_cm]]^2))/40000</f>
        <v>3.6338810078054777E-2</v>
      </c>
      <c r="F368" s="56">
        <f>Pinus[[#This Row],[gi_m²]]*Pinus[[#This Row],[h_m]]*0.45</f>
        <v>0.27521197812614784</v>
      </c>
    </row>
    <row r="369" spans="1:6" x14ac:dyDescent="0.3">
      <c r="A369" s="37">
        <v>4</v>
      </c>
      <c r="B369" s="37">
        <v>68</v>
      </c>
      <c r="C369" s="55">
        <v>16.22</v>
      </c>
      <c r="D369" s="55">
        <v>15.47</v>
      </c>
      <c r="E369" s="56">
        <f>(PI()*(Pinus[[#This Row],[d_cm]]^2))/40000</f>
        <v>2.066291461711732E-2</v>
      </c>
      <c r="F369" s="56">
        <f>Pinus[[#This Row],[gi_m²]]*Pinus[[#This Row],[h_m]]*0.45</f>
        <v>0.14384488010706223</v>
      </c>
    </row>
    <row r="370" spans="1:6" x14ac:dyDescent="0.3">
      <c r="A370" s="37">
        <v>4</v>
      </c>
      <c r="B370" s="37">
        <v>69</v>
      </c>
      <c r="C370" s="55">
        <v>23.43</v>
      </c>
      <c r="D370" s="55">
        <v>17.239999999999998</v>
      </c>
      <c r="E370" s="56">
        <f>(PI()*(Pinus[[#This Row],[d_cm]]^2))/40000</f>
        <v>4.311560242296638E-2</v>
      </c>
      <c r="F370" s="56">
        <f>Pinus[[#This Row],[gi_m²]]*Pinus[[#This Row],[h_m]]*0.45</f>
        <v>0.33449084359737313</v>
      </c>
    </row>
    <row r="371" spans="1:6" x14ac:dyDescent="0.3">
      <c r="A371" s="37">
        <v>4</v>
      </c>
      <c r="B371" s="37">
        <v>70</v>
      </c>
      <c r="C371" s="55">
        <v>18.16</v>
      </c>
      <c r="D371" s="55">
        <v>16.02</v>
      </c>
      <c r="E371" s="56">
        <f>(PI()*(Pinus[[#This Row],[d_cm]]^2))/40000</f>
        <v>2.5901300455492549E-2</v>
      </c>
      <c r="F371" s="56">
        <f>Pinus[[#This Row],[gi_m²]]*Pinus[[#This Row],[h_m]]*0.45</f>
        <v>0.18672247498364578</v>
      </c>
    </row>
    <row r="372" spans="1:6" x14ac:dyDescent="0.3">
      <c r="A372" s="37">
        <v>4</v>
      </c>
      <c r="B372" s="37">
        <v>71</v>
      </c>
      <c r="C372" s="55">
        <v>29.67</v>
      </c>
      <c r="D372" s="55">
        <v>18.38</v>
      </c>
      <c r="E372" s="56">
        <f>(PI()*(Pinus[[#This Row],[d_cm]]^2))/40000</f>
        <v>6.9139299328242809E-2</v>
      </c>
      <c r="F372" s="56">
        <f>Pinus[[#This Row],[gi_m²]]*Pinus[[#This Row],[h_m]]*0.45</f>
        <v>0.57185114474389631</v>
      </c>
    </row>
    <row r="373" spans="1:6" x14ac:dyDescent="0.3">
      <c r="A373" s="37">
        <v>4</v>
      </c>
      <c r="B373" s="37">
        <v>72</v>
      </c>
      <c r="C373" s="55">
        <v>13.4</v>
      </c>
      <c r="D373" s="55">
        <v>14.55</v>
      </c>
      <c r="E373" s="56">
        <f>(PI()*(Pinus[[#This Row],[d_cm]]^2))/40000</f>
        <v>1.4102609421964582E-2</v>
      </c>
      <c r="F373" s="56">
        <f>Pinus[[#This Row],[gi_m²]]*Pinus[[#This Row],[h_m]]*0.45</f>
        <v>9.2336835190313105E-2</v>
      </c>
    </row>
    <row r="374" spans="1:6" x14ac:dyDescent="0.3">
      <c r="A374" s="37">
        <v>4</v>
      </c>
      <c r="B374" s="37">
        <v>73</v>
      </c>
      <c r="C374" s="55">
        <v>18.14</v>
      </c>
      <c r="D374" s="55">
        <v>16.010000000000002</v>
      </c>
      <c r="E374" s="56">
        <f>(PI()*(Pinus[[#This Row],[d_cm]]^2))/40000</f>
        <v>2.5844280548829902E-2</v>
      </c>
      <c r="F374" s="56">
        <f>Pinus[[#This Row],[gi_m²]]*Pinus[[#This Row],[h_m]]*0.45</f>
        <v>0.18619511921404505</v>
      </c>
    </row>
    <row r="375" spans="1:6" x14ac:dyDescent="0.3">
      <c r="A375" s="37">
        <v>4</v>
      </c>
      <c r="B375" s="37">
        <v>74</v>
      </c>
      <c r="C375" s="55">
        <v>23.3</v>
      </c>
      <c r="D375" s="55">
        <v>17.22</v>
      </c>
      <c r="E375" s="56">
        <f>(PI()*(Pinus[[#This Row],[d_cm]]^2))/40000</f>
        <v>4.2638480892684065E-2</v>
      </c>
      <c r="F375" s="56">
        <f>Pinus[[#This Row],[gi_m²]]*Pinus[[#This Row],[h_m]]*0.45</f>
        <v>0.3304055884374088</v>
      </c>
    </row>
    <row r="376" spans="1:6" x14ac:dyDescent="0.3">
      <c r="A376" s="37">
        <v>4</v>
      </c>
      <c r="B376" s="37">
        <v>75</v>
      </c>
      <c r="C376" s="55">
        <v>22.04</v>
      </c>
      <c r="D376" s="55">
        <v>16.95</v>
      </c>
      <c r="E376" s="56">
        <f>(PI()*(Pinus[[#This Row],[d_cm]]^2))/40000</f>
        <v>3.815162684890059E-2</v>
      </c>
      <c r="F376" s="56">
        <f>Pinus[[#This Row],[gi_m²]]*Pinus[[#This Row],[h_m]]*0.45</f>
        <v>0.29100153378998928</v>
      </c>
    </row>
    <row r="377" spans="1:6" x14ac:dyDescent="0.3">
      <c r="A377" s="37">
        <v>4</v>
      </c>
      <c r="B377" s="37">
        <v>76</v>
      </c>
      <c r="C377" s="55">
        <v>17.64</v>
      </c>
      <c r="D377" s="55">
        <v>15.88</v>
      </c>
      <c r="E377" s="56">
        <f>(PI()*(Pinus[[#This Row],[d_cm]]^2))/40000</f>
        <v>2.4439203234511861E-2</v>
      </c>
      <c r="F377" s="56">
        <f>Pinus[[#This Row],[gi_m²]]*Pinus[[#This Row],[h_m]]*0.45</f>
        <v>0.17464254631382176</v>
      </c>
    </row>
    <row r="378" spans="1:6" x14ac:dyDescent="0.3">
      <c r="A378" s="37">
        <v>4</v>
      </c>
      <c r="B378" s="37">
        <v>77</v>
      </c>
      <c r="C378" s="55">
        <v>16.010000000000002</v>
      </c>
      <c r="D378" s="55">
        <v>15.41</v>
      </c>
      <c r="E378" s="56">
        <f>(PI()*(Pinus[[#This Row],[d_cm]]^2))/40000</f>
        <v>2.0131333578185029E-2</v>
      </c>
      <c r="F378" s="56">
        <f>Pinus[[#This Row],[gi_m²]]*Pinus[[#This Row],[h_m]]*0.45</f>
        <v>0.13960073269792408</v>
      </c>
    </row>
    <row r="379" spans="1:6" x14ac:dyDescent="0.3">
      <c r="A379" s="37">
        <v>4</v>
      </c>
      <c r="B379" s="37">
        <v>78</v>
      </c>
      <c r="C379" s="55">
        <v>20.58</v>
      </c>
      <c r="D379" s="55">
        <v>16.62</v>
      </c>
      <c r="E379" s="56">
        <f>(PI()*(Pinus[[#This Row],[d_cm]]^2))/40000</f>
        <v>3.3264471069196694E-2</v>
      </c>
      <c r="F379" s="56">
        <f>Pinus[[#This Row],[gi_m²]]*Pinus[[#This Row],[h_m]]*0.45</f>
        <v>0.24878497912652212</v>
      </c>
    </row>
    <row r="380" spans="1:6" x14ac:dyDescent="0.3">
      <c r="A380" s="37">
        <v>4</v>
      </c>
      <c r="B380" s="37">
        <v>79</v>
      </c>
      <c r="C380" s="55">
        <v>19.940000000000001</v>
      </c>
      <c r="D380" s="55">
        <v>16.47</v>
      </c>
      <c r="E380" s="56">
        <f>(PI()*(Pinus[[#This Row],[d_cm]]^2))/40000</f>
        <v>3.122771372002137E-2</v>
      </c>
      <c r="F380" s="56">
        <f>Pinus[[#This Row],[gi_m²]]*Pinus[[#This Row],[h_m]]*0.45</f>
        <v>0.2314442002359384</v>
      </c>
    </row>
    <row r="381" spans="1:6" x14ac:dyDescent="0.3">
      <c r="A381" s="37">
        <v>4</v>
      </c>
      <c r="B381" s="37">
        <v>80</v>
      </c>
      <c r="C381" s="55">
        <v>12.84</v>
      </c>
      <c r="D381" s="55">
        <v>14.35</v>
      </c>
      <c r="E381" s="56">
        <f>(PI()*(Pinus[[#This Row],[d_cm]]^2))/40000</f>
        <v>1.2948513944741837E-2</v>
      </c>
      <c r="F381" s="56">
        <f>Pinus[[#This Row],[gi_m²]]*Pinus[[#This Row],[h_m]]*0.45</f>
        <v>8.3615028798170413E-2</v>
      </c>
    </row>
    <row r="382" spans="1:6" x14ac:dyDescent="0.3">
      <c r="A382" s="37">
        <v>4</v>
      </c>
      <c r="B382" s="37">
        <v>81</v>
      </c>
      <c r="C382" s="55">
        <v>20.14</v>
      </c>
      <c r="D382" s="55">
        <v>16.510000000000002</v>
      </c>
      <c r="E382" s="56">
        <f>(PI()*(Pinus[[#This Row],[d_cm]]^2))/40000</f>
        <v>3.1857288887800761E-2</v>
      </c>
      <c r="F382" s="56">
        <f>Pinus[[#This Row],[gi_m²]]*Pinus[[#This Row],[h_m]]*0.45</f>
        <v>0.23668372779191579</v>
      </c>
    </row>
    <row r="383" spans="1:6" x14ac:dyDescent="0.3">
      <c r="A383" s="37">
        <v>4</v>
      </c>
      <c r="B383" s="37">
        <v>82</v>
      </c>
      <c r="C383" s="55">
        <v>20.76</v>
      </c>
      <c r="D383" s="55">
        <v>16.66</v>
      </c>
      <c r="E383" s="56">
        <f>(PI()*(Pinus[[#This Row],[d_cm]]^2))/40000</f>
        <v>3.3848901550544014E-2</v>
      </c>
      <c r="F383" s="56">
        <f>Pinus[[#This Row],[gi_m²]]*Pinus[[#This Row],[h_m]]*0.45</f>
        <v>0.25376521492442844</v>
      </c>
    </row>
    <row r="384" spans="1:6" x14ac:dyDescent="0.3">
      <c r="A384" s="37">
        <v>4</v>
      </c>
      <c r="B384" s="37">
        <v>83</v>
      </c>
      <c r="C384" s="55">
        <v>20.7</v>
      </c>
      <c r="D384" s="55">
        <v>16.649999999999999</v>
      </c>
      <c r="E384" s="56">
        <f>(PI()*(Pinus[[#This Row],[d_cm]]^2))/40000</f>
        <v>3.3653525903417254E-2</v>
      </c>
      <c r="F384" s="56">
        <f>Pinus[[#This Row],[gi_m²]]*Pinus[[#This Row],[h_m]]*0.45</f>
        <v>0.25214904283135375</v>
      </c>
    </row>
    <row r="385" spans="1:6" x14ac:dyDescent="0.3">
      <c r="A385" s="37">
        <v>4</v>
      </c>
      <c r="B385" s="37">
        <v>84</v>
      </c>
      <c r="C385" s="55">
        <v>15.78</v>
      </c>
      <c r="D385" s="55">
        <v>15.34</v>
      </c>
      <c r="E385" s="56">
        <f>(PI()*(Pinus[[#This Row],[d_cm]]^2))/40000</f>
        <v>1.9557074003053714E-2</v>
      </c>
      <c r="F385" s="56">
        <f>Pinus[[#This Row],[gi_m²]]*Pinus[[#This Row],[h_m]]*0.45</f>
        <v>0.13500248184307981</v>
      </c>
    </row>
    <row r="386" spans="1:6" x14ac:dyDescent="0.3">
      <c r="A386" s="37">
        <v>4</v>
      </c>
      <c r="B386" s="37">
        <v>85</v>
      </c>
      <c r="C386" s="55">
        <v>21.9</v>
      </c>
      <c r="D386" s="55">
        <v>16.920000000000002</v>
      </c>
      <c r="E386" s="56">
        <f>(PI()*(Pinus[[#This Row],[d_cm]]^2))/40000</f>
        <v>3.7668481314705016E-2</v>
      </c>
      <c r="F386" s="56">
        <f>Pinus[[#This Row],[gi_m²]]*Pinus[[#This Row],[h_m]]*0.45</f>
        <v>0.28680781673016403</v>
      </c>
    </row>
    <row r="387" spans="1:6" x14ac:dyDescent="0.3">
      <c r="A387" s="37">
        <v>4</v>
      </c>
      <c r="B387" s="37">
        <v>86</v>
      </c>
      <c r="C387" s="55">
        <v>25.51</v>
      </c>
      <c r="D387" s="55">
        <v>17.649999999999999</v>
      </c>
      <c r="E387" s="56">
        <f>(PI()*(Pinus[[#This Row],[d_cm]]^2))/40000</f>
        <v>5.1110578735233989E-2</v>
      </c>
      <c r="F387" s="56">
        <f>Pinus[[#This Row],[gi_m²]]*Pinus[[#This Row],[h_m]]*0.45</f>
        <v>0.40594577160459594</v>
      </c>
    </row>
    <row r="388" spans="1:6" x14ac:dyDescent="0.3">
      <c r="A388" s="37">
        <v>4</v>
      </c>
      <c r="B388" s="37">
        <v>87</v>
      </c>
      <c r="C388" s="55">
        <v>21.82</v>
      </c>
      <c r="D388" s="55">
        <v>16.899999999999999</v>
      </c>
      <c r="E388" s="56">
        <f>(PI()*(Pinus[[#This Row],[d_cm]]^2))/40000</f>
        <v>3.7393780453075127E-2</v>
      </c>
      <c r="F388" s="56">
        <f>Pinus[[#This Row],[gi_m²]]*Pinus[[#This Row],[h_m]]*0.45</f>
        <v>0.28437970034563631</v>
      </c>
    </row>
    <row r="389" spans="1:6" x14ac:dyDescent="0.3">
      <c r="A389" s="37">
        <v>4</v>
      </c>
      <c r="B389" s="37">
        <v>88</v>
      </c>
      <c r="C389" s="55">
        <v>15.46</v>
      </c>
      <c r="D389" s="55">
        <v>15.24</v>
      </c>
      <c r="E389" s="56">
        <f>(PI()*(Pinus[[#This Row],[d_cm]]^2))/40000</f>
        <v>1.8771927167068558E-2</v>
      </c>
      <c r="F389" s="56">
        <f>Pinus[[#This Row],[gi_m²]]*Pinus[[#This Row],[h_m]]*0.45</f>
        <v>0.12873787651175617</v>
      </c>
    </row>
    <row r="390" spans="1:6" x14ac:dyDescent="0.3">
      <c r="A390" s="37">
        <v>4</v>
      </c>
      <c r="B390" s="37">
        <v>89</v>
      </c>
      <c r="C390" s="55">
        <v>18.260000000000002</v>
      </c>
      <c r="D390" s="55">
        <v>16.04</v>
      </c>
      <c r="E390" s="56">
        <f>(PI()*(Pinus[[#This Row],[d_cm]]^2))/40000</f>
        <v>2.6187342466601905E-2</v>
      </c>
      <c r="F390" s="56">
        <f>Pinus[[#This Row],[gi_m²]]*Pinus[[#This Row],[h_m]]*0.45</f>
        <v>0.18902023792393255</v>
      </c>
    </row>
    <row r="391" spans="1:6" x14ac:dyDescent="0.3">
      <c r="A391" s="37">
        <v>4</v>
      </c>
      <c r="B391" s="37">
        <v>90</v>
      </c>
      <c r="C391" s="55">
        <v>21.38</v>
      </c>
      <c r="D391" s="55">
        <v>16.8</v>
      </c>
      <c r="E391" s="56">
        <f>(PI()*(Pinus[[#This Row],[d_cm]]^2))/40000</f>
        <v>3.5900895624089255E-2</v>
      </c>
      <c r="F391" s="56">
        <f>Pinus[[#This Row],[gi_m²]]*Pinus[[#This Row],[h_m]]*0.45</f>
        <v>0.27141077091811477</v>
      </c>
    </row>
    <row r="392" spans="1:6" x14ac:dyDescent="0.3">
      <c r="A392" s="37">
        <v>4</v>
      </c>
      <c r="B392" s="37">
        <v>91</v>
      </c>
      <c r="C392" s="55">
        <v>17.41</v>
      </c>
      <c r="D392" s="55">
        <v>15.82</v>
      </c>
      <c r="E392" s="56">
        <f>(PI()*(Pinus[[#This Row],[d_cm]]^2))/40000</f>
        <v>2.3806054505089009E-2</v>
      </c>
      <c r="F392" s="56">
        <f>Pinus[[#This Row],[gi_m²]]*Pinus[[#This Row],[h_m]]*0.45</f>
        <v>0.16947530202172867</v>
      </c>
    </row>
    <row r="393" spans="1:6" x14ac:dyDescent="0.3">
      <c r="A393" s="37">
        <v>4</v>
      </c>
      <c r="B393" s="37">
        <v>92</v>
      </c>
      <c r="C393" s="55">
        <v>11.37</v>
      </c>
      <c r="D393" s="55">
        <v>13.77</v>
      </c>
      <c r="E393" s="56">
        <f>(PI()*(Pinus[[#This Row],[d_cm]]^2))/40000</f>
        <v>1.0153383982971557E-2</v>
      </c>
      <c r="F393" s="56">
        <f>Pinus[[#This Row],[gi_m²]]*Pinus[[#This Row],[h_m]]*0.45</f>
        <v>6.2915443850483255E-2</v>
      </c>
    </row>
    <row r="394" spans="1:6" x14ac:dyDescent="0.3">
      <c r="A394" s="37">
        <v>4</v>
      </c>
      <c r="B394" s="37">
        <v>93</v>
      </c>
      <c r="C394" s="55">
        <v>23.54</v>
      </c>
      <c r="D394" s="55">
        <v>17.260000000000002</v>
      </c>
      <c r="E394" s="56">
        <f>(PI()*(Pinus[[#This Row],[d_cm]]^2))/40000</f>
        <v>4.3521394092048936E-2</v>
      </c>
      <c r="F394" s="56">
        <f>Pinus[[#This Row],[gi_m²]]*Pinus[[#This Row],[h_m]]*0.45</f>
        <v>0.33803066791294412</v>
      </c>
    </row>
    <row r="395" spans="1:6" x14ac:dyDescent="0.3">
      <c r="A395" s="37">
        <v>4</v>
      </c>
      <c r="B395" s="37">
        <v>94</v>
      </c>
      <c r="C395" s="55">
        <v>16.68</v>
      </c>
      <c r="D395" s="55">
        <v>15.61</v>
      </c>
      <c r="E395" s="56">
        <f>(PI()*(Pinus[[#This Row],[d_cm]]^2))/40000</f>
        <v>2.1851536197603022E-2</v>
      </c>
      <c r="F395" s="56">
        <f>Pinus[[#This Row],[gi_m²]]*Pinus[[#This Row],[h_m]]*0.45</f>
        <v>0.15349611602006241</v>
      </c>
    </row>
    <row r="396" spans="1:6" x14ac:dyDescent="0.3">
      <c r="A396" s="37">
        <v>4</v>
      </c>
      <c r="B396" s="37">
        <v>95</v>
      </c>
      <c r="C396" s="55">
        <v>17.71</v>
      </c>
      <c r="D396" s="55">
        <v>15.9</v>
      </c>
      <c r="E396" s="56">
        <f>(PI()*(Pinus[[#This Row],[d_cm]]^2))/40000</f>
        <v>2.4633550010044563E-2</v>
      </c>
      <c r="F396" s="56">
        <f>Pinus[[#This Row],[gi_m²]]*Pinus[[#This Row],[h_m]]*0.45</f>
        <v>0.17625305032186883</v>
      </c>
    </row>
    <row r="397" spans="1:6" x14ac:dyDescent="0.3">
      <c r="A397" s="37">
        <v>4</v>
      </c>
      <c r="B397" s="37">
        <v>96</v>
      </c>
      <c r="C397" s="55">
        <v>26.02</v>
      </c>
      <c r="D397" s="55">
        <v>17.739999999999998</v>
      </c>
      <c r="E397" s="56">
        <f>(PI()*(Pinus[[#This Row],[d_cm]]^2))/40000</f>
        <v>5.3174628670587365E-2</v>
      </c>
      <c r="F397" s="56">
        <f>Pinus[[#This Row],[gi_m²]]*Pinus[[#This Row],[h_m]]*0.45</f>
        <v>0.42449306067729892</v>
      </c>
    </row>
    <row r="398" spans="1:6" x14ac:dyDescent="0.3">
      <c r="A398" s="37">
        <v>4</v>
      </c>
      <c r="B398" s="37">
        <v>97</v>
      </c>
      <c r="C398" s="55">
        <v>16.899999999999999</v>
      </c>
      <c r="D398" s="55">
        <v>15.67</v>
      </c>
      <c r="E398" s="56">
        <f>(PI()*(Pinus[[#This Row],[d_cm]]^2))/40000</f>
        <v>2.2431756944794518E-2</v>
      </c>
      <c r="F398" s="56">
        <f>Pinus[[#This Row],[gi_m²]]*Pinus[[#This Row],[h_m]]*0.45</f>
        <v>0.15817753409621854</v>
      </c>
    </row>
    <row r="399" spans="1:6" x14ac:dyDescent="0.3">
      <c r="A399" s="37">
        <v>4</v>
      </c>
      <c r="B399" s="37">
        <v>98</v>
      </c>
      <c r="C399" s="55">
        <v>23.38</v>
      </c>
      <c r="D399" s="55">
        <v>17.23</v>
      </c>
      <c r="E399" s="56">
        <f>(PI()*(Pinus[[#This Row],[d_cm]]^2))/40000</f>
        <v>4.2931779982823208E-2</v>
      </c>
      <c r="F399" s="56">
        <f>Pinus[[#This Row],[gi_m²]]*Pinus[[#This Row],[h_m]]*0.45</f>
        <v>0.33287155609681973</v>
      </c>
    </row>
    <row r="400" spans="1:6" x14ac:dyDescent="0.3">
      <c r="A400" s="37">
        <v>4</v>
      </c>
      <c r="B400" s="37">
        <v>99</v>
      </c>
      <c r="C400" s="55">
        <v>14.96</v>
      </c>
      <c r="D400" s="55">
        <v>15.08</v>
      </c>
      <c r="E400" s="56">
        <f>(PI()*(Pinus[[#This Row],[d_cm]]^2))/40000</f>
        <v>1.757733656054104E-2</v>
      </c>
      <c r="F400" s="56">
        <f>Pinus[[#This Row],[gi_m²]]*Pinus[[#This Row],[h_m]]*0.45</f>
        <v>0.11927980589983149</v>
      </c>
    </row>
    <row r="401" spans="1:6" x14ac:dyDescent="0.3">
      <c r="A401" s="37">
        <v>4</v>
      </c>
      <c r="B401" s="37">
        <v>100</v>
      </c>
      <c r="C401" s="55">
        <v>18.579999999999998</v>
      </c>
      <c r="D401" s="55">
        <v>16.13</v>
      </c>
      <c r="E401" s="56">
        <f>(PI()*(Pinus[[#This Row],[d_cm]]^2))/40000</f>
        <v>2.7113232653467885E-2</v>
      </c>
      <c r="F401" s="56">
        <f>Pinus[[#This Row],[gi_m²]]*Pinus[[#This Row],[h_m]]*0.45</f>
        <v>0.19680139921519665</v>
      </c>
    </row>
    <row r="402" spans="1:6" x14ac:dyDescent="0.3">
      <c r="A402" s="37">
        <v>5</v>
      </c>
      <c r="B402" s="37">
        <v>1</v>
      </c>
      <c r="C402" s="55">
        <v>19.71</v>
      </c>
      <c r="D402" s="55">
        <v>16.02</v>
      </c>
      <c r="E402" s="56">
        <f>(PI()*(Pinus[[#This Row],[d_cm]]^2))/40000</f>
        <v>3.0511469864911066E-2</v>
      </c>
      <c r="F402" s="56">
        <f>Pinus[[#This Row],[gi_m²]]*Pinus[[#This Row],[h_m]]*0.45</f>
        <v>0.21995718625614388</v>
      </c>
    </row>
    <row r="403" spans="1:6" x14ac:dyDescent="0.3">
      <c r="A403" s="37">
        <v>5</v>
      </c>
      <c r="B403" s="37">
        <v>2</v>
      </c>
      <c r="C403" s="55">
        <v>15.33</v>
      </c>
      <c r="D403" s="55">
        <v>14.84</v>
      </c>
      <c r="E403" s="56">
        <f>(PI()*(Pinus[[#This Row],[d_cm]]^2))/40000</f>
        <v>1.8457555844205459E-2</v>
      </c>
      <c r="F403" s="56">
        <f>Pinus[[#This Row],[gi_m²]]*Pinus[[#This Row],[h_m]]*0.45</f>
        <v>0.12325955792760405</v>
      </c>
    </row>
    <row r="404" spans="1:6" x14ac:dyDescent="0.3">
      <c r="A404" s="37">
        <v>5</v>
      </c>
      <c r="B404" s="37">
        <v>3</v>
      </c>
      <c r="C404" s="55">
        <v>17.46</v>
      </c>
      <c r="D404" s="55">
        <v>15.45</v>
      </c>
      <c r="E404" s="56">
        <f>(PI()*(Pinus[[#This Row],[d_cm]]^2))/40000</f>
        <v>2.3942988674877354E-2</v>
      </c>
      <c r="F404" s="56">
        <f>Pinus[[#This Row],[gi_m²]]*Pinus[[#This Row],[h_m]]*0.45</f>
        <v>0.16646362876208481</v>
      </c>
    </row>
    <row r="405" spans="1:6" x14ac:dyDescent="0.3">
      <c r="A405" s="37">
        <v>5</v>
      </c>
      <c r="B405" s="37">
        <v>4</v>
      </c>
      <c r="C405" s="55">
        <v>19.88</v>
      </c>
      <c r="D405" s="55">
        <v>16.059999999999999</v>
      </c>
      <c r="E405" s="56">
        <f>(PI()*(Pinus[[#This Row],[d_cm]]^2))/40000</f>
        <v>3.1040066390822442E-2</v>
      </c>
      <c r="F405" s="56">
        <f>Pinus[[#This Row],[gi_m²]]*Pinus[[#This Row],[h_m]]*0.45</f>
        <v>0.22432655980647379</v>
      </c>
    </row>
    <row r="406" spans="1:6" x14ac:dyDescent="0.3">
      <c r="A406" s="37">
        <v>5</v>
      </c>
      <c r="B406" s="37">
        <v>5</v>
      </c>
      <c r="C406" s="55">
        <v>22.68</v>
      </c>
      <c r="D406" s="55">
        <v>16.68</v>
      </c>
      <c r="E406" s="56">
        <f>(PI()*(Pinus[[#This Row],[d_cm]]^2))/40000</f>
        <v>4.0399499224397159E-2</v>
      </c>
      <c r="F406" s="56">
        <f>Pinus[[#This Row],[gi_m²]]*Pinus[[#This Row],[h_m]]*0.45</f>
        <v>0.30323864117832505</v>
      </c>
    </row>
    <row r="407" spans="1:6" x14ac:dyDescent="0.3">
      <c r="A407" s="37">
        <v>5</v>
      </c>
      <c r="B407" s="37">
        <v>6</v>
      </c>
      <c r="C407" s="55">
        <v>13.4</v>
      </c>
      <c r="D407" s="55">
        <v>14.21</v>
      </c>
      <c r="E407" s="56">
        <f>(PI()*(Pinus[[#This Row],[d_cm]]^2))/40000</f>
        <v>1.4102609421964582E-2</v>
      </c>
      <c r="F407" s="56">
        <f>Pinus[[#This Row],[gi_m²]]*Pinus[[#This Row],[h_m]]*0.45</f>
        <v>9.0179135948752528E-2</v>
      </c>
    </row>
    <row r="408" spans="1:6" x14ac:dyDescent="0.3">
      <c r="A408" s="37">
        <v>5</v>
      </c>
      <c r="B408" s="37">
        <v>7</v>
      </c>
      <c r="C408" s="55">
        <v>18.600000000000001</v>
      </c>
      <c r="D408" s="55">
        <v>15.75</v>
      </c>
      <c r="E408" s="56">
        <f>(PI()*(Pinus[[#This Row],[d_cm]]^2))/40000</f>
        <v>2.717163486089812E-2</v>
      </c>
      <c r="F408" s="56">
        <f>Pinus[[#This Row],[gi_m²]]*Pinus[[#This Row],[h_m]]*0.45</f>
        <v>0.19257896207661543</v>
      </c>
    </row>
    <row r="409" spans="1:6" x14ac:dyDescent="0.3">
      <c r="A409" s="37">
        <v>5</v>
      </c>
      <c r="B409" s="37">
        <v>8</v>
      </c>
      <c r="C409" s="55">
        <v>23.03</v>
      </c>
      <c r="D409" s="55">
        <v>16.75</v>
      </c>
      <c r="E409" s="56">
        <f>(PI()*(Pinus[[#This Row],[d_cm]]^2))/40000</f>
        <v>4.1656018476108565E-2</v>
      </c>
      <c r="F409" s="56">
        <f>Pinus[[#This Row],[gi_m²]]*Pinus[[#This Row],[h_m]]*0.45</f>
        <v>0.31398223926366836</v>
      </c>
    </row>
    <row r="410" spans="1:6" x14ac:dyDescent="0.3">
      <c r="A410" s="37">
        <v>5</v>
      </c>
      <c r="B410" s="37">
        <v>9</v>
      </c>
      <c r="C410" s="55">
        <v>17.84</v>
      </c>
      <c r="D410" s="55">
        <v>15.56</v>
      </c>
      <c r="E410" s="56">
        <f>(PI()*(Pinus[[#This Row],[d_cm]]^2))/40000</f>
        <v>2.499652177125869E-2</v>
      </c>
      <c r="F410" s="56">
        <f>Pinus[[#This Row],[gi_m²]]*Pinus[[#This Row],[h_m]]*0.45</f>
        <v>0.17502564544235336</v>
      </c>
    </row>
    <row r="411" spans="1:6" x14ac:dyDescent="0.3">
      <c r="A411" s="37">
        <v>5</v>
      </c>
      <c r="B411" s="37">
        <v>10</v>
      </c>
      <c r="C411" s="55">
        <v>20.91</v>
      </c>
      <c r="D411" s="55">
        <v>16.3</v>
      </c>
      <c r="E411" s="56">
        <f>(PI()*(Pinus[[#This Row],[d_cm]]^2))/40000</f>
        <v>3.4339814672575582E-2</v>
      </c>
      <c r="F411" s="56">
        <f>Pinus[[#This Row],[gi_m²]]*Pinus[[#This Row],[h_m]]*0.45</f>
        <v>0.25188254062334192</v>
      </c>
    </row>
    <row r="412" spans="1:6" x14ac:dyDescent="0.3">
      <c r="A412" s="37">
        <v>5</v>
      </c>
      <c r="B412" s="37">
        <v>11</v>
      </c>
      <c r="C412" s="55">
        <v>21.97</v>
      </c>
      <c r="D412" s="55">
        <v>16.53</v>
      </c>
      <c r="E412" s="56">
        <f>(PI()*(Pinus[[#This Row],[d_cm]]^2))/40000</f>
        <v>3.7909669236702734E-2</v>
      </c>
      <c r="F412" s="56">
        <f>Pinus[[#This Row],[gi_m²]]*Pinus[[#This Row],[h_m]]*0.45</f>
        <v>0.28199107461721334</v>
      </c>
    </row>
    <row r="413" spans="1:6" x14ac:dyDescent="0.3">
      <c r="A413" s="37">
        <v>5</v>
      </c>
      <c r="B413" s="37">
        <v>12</v>
      </c>
      <c r="C413" s="55">
        <v>21.07</v>
      </c>
      <c r="D413" s="55">
        <v>16.34</v>
      </c>
      <c r="E413" s="56">
        <f>(PI()*(Pinus[[#This Row],[d_cm]]^2))/40000</f>
        <v>3.4867350910966384E-2</v>
      </c>
      <c r="F413" s="56">
        <f>Pinus[[#This Row],[gi_m²]]*Pinus[[#This Row],[h_m]]*0.45</f>
        <v>0.25637963124833585</v>
      </c>
    </row>
    <row r="414" spans="1:6" x14ac:dyDescent="0.3">
      <c r="A414" s="37">
        <v>5</v>
      </c>
      <c r="B414" s="37">
        <v>13</v>
      </c>
      <c r="C414" s="55">
        <v>22.61</v>
      </c>
      <c r="D414" s="55">
        <v>16.670000000000002</v>
      </c>
      <c r="E414" s="56">
        <f>(PI()*(Pinus[[#This Row],[d_cm]]^2))/40000</f>
        <v>4.0150504444655261E-2</v>
      </c>
      <c r="F414" s="56">
        <f>Pinus[[#This Row],[gi_m²]]*Pinus[[#This Row],[h_m]]*0.45</f>
        <v>0.30118900909158147</v>
      </c>
    </row>
    <row r="415" spans="1:6" x14ac:dyDescent="0.3">
      <c r="A415" s="37">
        <v>5</v>
      </c>
      <c r="B415" s="37">
        <v>14</v>
      </c>
      <c r="C415" s="55">
        <v>19.510000000000002</v>
      </c>
      <c r="D415" s="55">
        <v>15.97</v>
      </c>
      <c r="E415" s="56">
        <f>(PI()*(Pinus[[#This Row],[d_cm]]^2))/40000</f>
        <v>2.9895403545542109E-2</v>
      </c>
      <c r="F415" s="56">
        <f>Pinus[[#This Row],[gi_m²]]*Pinus[[#This Row],[h_m]]*0.45</f>
        <v>0.21484331758003838</v>
      </c>
    </row>
    <row r="416" spans="1:6" x14ac:dyDescent="0.3">
      <c r="A416" s="37">
        <v>5</v>
      </c>
      <c r="B416" s="37">
        <v>15</v>
      </c>
      <c r="C416" s="55">
        <v>18.350000000000001</v>
      </c>
      <c r="D416" s="55">
        <v>15.69</v>
      </c>
      <c r="E416" s="56">
        <f>(PI()*(Pinus[[#This Row],[d_cm]]^2))/40000</f>
        <v>2.6446123307459733E-2</v>
      </c>
      <c r="F416" s="56">
        <f>Pinus[[#This Row],[gi_m²]]*Pinus[[#This Row],[h_m]]*0.45</f>
        <v>0.18672285361231944</v>
      </c>
    </row>
    <row r="417" spans="1:6" x14ac:dyDescent="0.3">
      <c r="A417" s="37">
        <v>5</v>
      </c>
      <c r="B417" s="37">
        <v>16</v>
      </c>
      <c r="C417" s="55">
        <v>9.43</v>
      </c>
      <c r="D417" s="55">
        <v>12.56</v>
      </c>
      <c r="E417" s="56">
        <f>(PI()*(Pinus[[#This Row],[d_cm]]^2))/40000</f>
        <v>6.984145314030174E-3</v>
      </c>
      <c r="F417" s="56">
        <f>Pinus[[#This Row],[gi_m²]]*Pinus[[#This Row],[h_m]]*0.45</f>
        <v>3.947438931489855E-2</v>
      </c>
    </row>
    <row r="418" spans="1:6" x14ac:dyDescent="0.3">
      <c r="A418" s="37">
        <v>5</v>
      </c>
      <c r="B418" s="37">
        <v>17</v>
      </c>
      <c r="C418" s="55">
        <v>19.63</v>
      </c>
      <c r="D418" s="55">
        <v>16</v>
      </c>
      <c r="E418" s="56">
        <f>(PI()*(Pinus[[#This Row],[d_cm]]^2))/40000</f>
        <v>3.0264289354926616E-2</v>
      </c>
      <c r="F418" s="56">
        <f>Pinus[[#This Row],[gi_m²]]*Pinus[[#This Row],[h_m]]*0.45</f>
        <v>0.21790288335547164</v>
      </c>
    </row>
    <row r="419" spans="1:6" x14ac:dyDescent="0.3">
      <c r="A419" s="37">
        <v>5</v>
      </c>
      <c r="B419" s="37">
        <v>18</v>
      </c>
      <c r="C419" s="55">
        <v>21.72</v>
      </c>
      <c r="D419" s="55">
        <v>16.48</v>
      </c>
      <c r="E419" s="56">
        <f>(PI()*(Pinus[[#This Row],[d_cm]]^2))/40000</f>
        <v>3.7051818092731871E-2</v>
      </c>
      <c r="F419" s="56">
        <f>Pinus[[#This Row],[gi_m²]]*Pinus[[#This Row],[h_m]]*0.45</f>
        <v>0.27477628297569956</v>
      </c>
    </row>
    <row r="420" spans="1:6" x14ac:dyDescent="0.3">
      <c r="A420" s="37">
        <v>5</v>
      </c>
      <c r="B420" s="37">
        <v>19</v>
      </c>
      <c r="C420" s="55">
        <v>22.14</v>
      </c>
      <c r="D420" s="55">
        <v>16.57</v>
      </c>
      <c r="E420" s="56">
        <f>(PI()*(Pinus[[#This Row],[d_cm]]^2))/40000</f>
        <v>3.8498615757489585E-2</v>
      </c>
      <c r="F420" s="56">
        <f>Pinus[[#This Row],[gi_m²]]*Pinus[[#This Row],[h_m]]*0.45</f>
        <v>0.28706492839572106</v>
      </c>
    </row>
    <row r="421" spans="1:6" x14ac:dyDescent="0.3">
      <c r="A421" s="37">
        <v>5</v>
      </c>
      <c r="B421" s="37">
        <v>20</v>
      </c>
      <c r="C421" s="55">
        <v>17.78</v>
      </c>
      <c r="D421" s="55">
        <v>15.54</v>
      </c>
      <c r="E421" s="56">
        <f>(PI()*(Pinus[[#This Row],[d_cm]]^2))/40000</f>
        <v>2.4828666475777392E-2</v>
      </c>
      <c r="F421" s="56">
        <f>Pinus[[#This Row],[gi_m²]]*Pinus[[#This Row],[h_m]]*0.45</f>
        <v>0.17362686466511132</v>
      </c>
    </row>
    <row r="422" spans="1:6" x14ac:dyDescent="0.3">
      <c r="A422" s="37">
        <v>5</v>
      </c>
      <c r="B422" s="37">
        <v>21</v>
      </c>
      <c r="C422" s="55">
        <v>27.12</v>
      </c>
      <c r="D422" s="55">
        <v>17.52</v>
      </c>
      <c r="E422" s="56">
        <f>(PI()*(Pinus[[#This Row],[d_cm]]^2))/40000</f>
        <v>5.7765595094910818E-2</v>
      </c>
      <c r="F422" s="56">
        <f>Pinus[[#This Row],[gi_m²]]*Pinus[[#This Row],[h_m]]*0.45</f>
        <v>0.45542395172827688</v>
      </c>
    </row>
    <row r="423" spans="1:6" x14ac:dyDescent="0.3">
      <c r="A423" s="37">
        <v>5</v>
      </c>
      <c r="B423" s="37">
        <v>22</v>
      </c>
      <c r="C423" s="55">
        <v>21.15</v>
      </c>
      <c r="D423" s="55">
        <v>16.350000000000001</v>
      </c>
      <c r="E423" s="56">
        <f>(PI()*(Pinus[[#This Row],[d_cm]]^2))/40000</f>
        <v>3.5132626994635499E-2</v>
      </c>
      <c r="F423" s="56">
        <f>Pinus[[#This Row],[gi_m²]]*Pinus[[#This Row],[h_m]]*0.45</f>
        <v>0.25848830311303067</v>
      </c>
    </row>
    <row r="424" spans="1:6" x14ac:dyDescent="0.3">
      <c r="A424" s="37">
        <v>5</v>
      </c>
      <c r="B424" s="37">
        <v>23</v>
      </c>
      <c r="C424" s="55">
        <v>20.51</v>
      </c>
      <c r="D424" s="55">
        <v>16.21</v>
      </c>
      <c r="E424" s="56">
        <f>(PI()*(Pinus[[#This Row],[d_cm]]^2))/40000</f>
        <v>3.30385669954587E-2</v>
      </c>
      <c r="F424" s="56">
        <f>Pinus[[#This Row],[gi_m²]]*Pinus[[#This Row],[h_m]]*0.45</f>
        <v>0.24099982694837352</v>
      </c>
    </row>
    <row r="425" spans="1:6" x14ac:dyDescent="0.3">
      <c r="A425" s="37">
        <v>5</v>
      </c>
      <c r="B425" s="37">
        <v>24</v>
      </c>
      <c r="C425" s="55">
        <v>25.09</v>
      </c>
      <c r="D425" s="55">
        <v>17.16</v>
      </c>
      <c r="E425" s="56">
        <f>(PI()*(Pinus[[#This Row],[d_cm]]^2))/40000</f>
        <v>4.9441450558381721E-2</v>
      </c>
      <c r="F425" s="56">
        <f>Pinus[[#This Row],[gi_m²]]*Pinus[[#This Row],[h_m]]*0.45</f>
        <v>0.38178688121182369</v>
      </c>
    </row>
    <row r="426" spans="1:6" x14ac:dyDescent="0.3">
      <c r="A426" s="37">
        <v>5</v>
      </c>
      <c r="B426" s="37">
        <v>25</v>
      </c>
      <c r="C426" s="55">
        <v>17.13</v>
      </c>
      <c r="D426" s="55">
        <v>15.36</v>
      </c>
      <c r="E426" s="56">
        <f>(PI()*(Pinus[[#This Row],[d_cm]]^2))/40000</f>
        <v>2.3046480233304068E-2</v>
      </c>
      <c r="F426" s="56">
        <f>Pinus[[#This Row],[gi_m²]]*Pinus[[#This Row],[h_m]]*0.45</f>
        <v>0.15929727137259772</v>
      </c>
    </row>
    <row r="427" spans="1:6" x14ac:dyDescent="0.3">
      <c r="A427" s="37">
        <v>5</v>
      </c>
      <c r="B427" s="37">
        <v>26</v>
      </c>
      <c r="C427" s="55">
        <v>18.2</v>
      </c>
      <c r="D427" s="55">
        <v>15.65</v>
      </c>
      <c r="E427" s="56">
        <f>(PI()*(Pinus[[#This Row],[d_cm]]^2))/40000</f>
        <v>2.6015528764377075E-2</v>
      </c>
      <c r="F427" s="56">
        <f>Pinus[[#This Row],[gi_m²]]*Pinus[[#This Row],[h_m]]*0.45</f>
        <v>0.18321436132312555</v>
      </c>
    </row>
    <row r="428" spans="1:6" x14ac:dyDescent="0.3">
      <c r="A428" s="37">
        <v>5</v>
      </c>
      <c r="B428" s="37">
        <v>27</v>
      </c>
      <c r="C428" s="55">
        <v>29.59</v>
      </c>
      <c r="D428" s="55">
        <v>17.93</v>
      </c>
      <c r="E428" s="56">
        <f>(PI()*(Pinus[[#This Row],[d_cm]]^2))/40000</f>
        <v>6.8766957766939335E-2</v>
      </c>
      <c r="F428" s="56">
        <f>Pinus[[#This Row],[gi_m²]]*Pinus[[#This Row],[h_m]]*0.45</f>
        <v>0.55484619874255003</v>
      </c>
    </row>
    <row r="429" spans="1:6" x14ac:dyDescent="0.3">
      <c r="A429" s="37">
        <v>5</v>
      </c>
      <c r="B429" s="37">
        <v>28</v>
      </c>
      <c r="C429" s="55">
        <v>20.04</v>
      </c>
      <c r="D429" s="55">
        <v>16.100000000000001</v>
      </c>
      <c r="E429" s="56">
        <f>(PI()*(Pinus[[#This Row],[d_cm]]^2))/40000</f>
        <v>3.1541715905747662E-2</v>
      </c>
      <c r="F429" s="56">
        <f>Pinus[[#This Row],[gi_m²]]*Pinus[[#This Row],[h_m]]*0.45</f>
        <v>0.22851973173714185</v>
      </c>
    </row>
    <row r="430" spans="1:6" x14ac:dyDescent="0.3">
      <c r="A430" s="37">
        <v>5</v>
      </c>
      <c r="B430" s="37">
        <v>29</v>
      </c>
      <c r="C430" s="55">
        <v>26.53</v>
      </c>
      <c r="D430" s="55">
        <v>17.420000000000002</v>
      </c>
      <c r="E430" s="56">
        <f>(PI()*(Pinus[[#This Row],[d_cm]]^2))/40000</f>
        <v>5.5279535018400716E-2</v>
      </c>
      <c r="F430" s="56">
        <f>Pinus[[#This Row],[gi_m²]]*Pinus[[#This Row],[h_m]]*0.45</f>
        <v>0.43333627500924327</v>
      </c>
    </row>
    <row r="431" spans="1:6" x14ac:dyDescent="0.3">
      <c r="A431" s="37">
        <v>5</v>
      </c>
      <c r="B431" s="37">
        <v>30</v>
      </c>
      <c r="C431" s="55">
        <v>14.25</v>
      </c>
      <c r="D431" s="55">
        <v>14.5</v>
      </c>
      <c r="E431" s="56">
        <f>(PI()*(Pinus[[#This Row],[d_cm]]^2))/40000</f>
        <v>1.5948491455489433E-2</v>
      </c>
      <c r="F431" s="56">
        <f>Pinus[[#This Row],[gi_m²]]*Pinus[[#This Row],[h_m]]*0.45</f>
        <v>0.10406390674706856</v>
      </c>
    </row>
    <row r="432" spans="1:6" x14ac:dyDescent="0.3">
      <c r="A432" s="37">
        <v>5</v>
      </c>
      <c r="B432" s="37">
        <v>31</v>
      </c>
      <c r="C432" s="55">
        <v>19.239999999999998</v>
      </c>
      <c r="D432" s="55">
        <v>15.91</v>
      </c>
      <c r="E432" s="56">
        <f>(PI()*(Pinus[[#This Row],[d_cm]]^2))/40000</f>
        <v>2.9073680717087519E-2</v>
      </c>
      <c r="F432" s="56">
        <f>Pinus[[#This Row],[gi_m²]]*Pinus[[#This Row],[h_m]]*0.45</f>
        <v>0.20815301709398809</v>
      </c>
    </row>
    <row r="433" spans="1:6" x14ac:dyDescent="0.3">
      <c r="A433" s="37">
        <v>5</v>
      </c>
      <c r="B433" s="37">
        <v>32</v>
      </c>
      <c r="C433" s="55">
        <v>21.51</v>
      </c>
      <c r="D433" s="55">
        <v>16.43</v>
      </c>
      <c r="E433" s="56">
        <f>(PI()*(Pinus[[#This Row],[d_cm]]^2))/40000</f>
        <v>3.6338810078054777E-2</v>
      </c>
      <c r="F433" s="56">
        <f>Pinus[[#This Row],[gi_m²]]*Pinus[[#This Row],[h_m]]*0.45</f>
        <v>0.26867099231209801</v>
      </c>
    </row>
    <row r="434" spans="1:6" x14ac:dyDescent="0.3">
      <c r="A434" s="37">
        <v>5</v>
      </c>
      <c r="B434" s="37">
        <v>33</v>
      </c>
      <c r="C434" s="55">
        <v>21.2</v>
      </c>
      <c r="D434" s="55">
        <v>16.37</v>
      </c>
      <c r="E434" s="56">
        <f>(PI()*(Pinus[[#This Row],[d_cm]]^2))/40000</f>
        <v>3.5298935055734913E-2</v>
      </c>
      <c r="F434" s="56">
        <f>Pinus[[#This Row],[gi_m²]]*Pinus[[#This Row],[h_m]]*0.45</f>
        <v>0.26002960508807127</v>
      </c>
    </row>
    <row r="435" spans="1:6" x14ac:dyDescent="0.3">
      <c r="A435" s="37">
        <v>5</v>
      </c>
      <c r="B435" s="37">
        <v>34</v>
      </c>
      <c r="C435" s="55">
        <v>15.98</v>
      </c>
      <c r="D435" s="55">
        <v>15.04</v>
      </c>
      <c r="E435" s="56">
        <f>(PI()*(Pinus[[#This Row],[d_cm]]^2))/40000</f>
        <v>2.0055958916443777E-2</v>
      </c>
      <c r="F435" s="56">
        <f>Pinus[[#This Row],[gi_m²]]*Pinus[[#This Row],[h_m]]*0.45</f>
        <v>0.1357387299464915</v>
      </c>
    </row>
    <row r="436" spans="1:6" x14ac:dyDescent="0.3">
      <c r="A436" s="37">
        <v>5</v>
      </c>
      <c r="B436" s="37">
        <v>35</v>
      </c>
      <c r="C436" s="55">
        <v>20.079999999999998</v>
      </c>
      <c r="D436" s="55">
        <v>16.11</v>
      </c>
      <c r="E436" s="56">
        <f>(PI()*(Pinus[[#This Row],[d_cm]]^2))/40000</f>
        <v>3.1667756603009682E-2</v>
      </c>
      <c r="F436" s="56">
        <f>Pinus[[#This Row],[gi_m²]]*Pinus[[#This Row],[h_m]]*0.45</f>
        <v>0.22957540149351868</v>
      </c>
    </row>
    <row r="437" spans="1:6" x14ac:dyDescent="0.3">
      <c r="A437" s="37">
        <v>5</v>
      </c>
      <c r="B437" s="37">
        <v>36</v>
      </c>
      <c r="C437" s="55">
        <v>15.69</v>
      </c>
      <c r="D437" s="55">
        <v>14.95</v>
      </c>
      <c r="E437" s="56">
        <f>(PI()*(Pinus[[#This Row],[d_cm]]^2))/40000</f>
        <v>1.9334625681234657E-2</v>
      </c>
      <c r="F437" s="56">
        <f>Pinus[[#This Row],[gi_m²]]*Pinus[[#This Row],[h_m]]*0.45</f>
        <v>0.13007369427050616</v>
      </c>
    </row>
    <row r="438" spans="1:6" x14ac:dyDescent="0.3">
      <c r="A438" s="37">
        <v>5</v>
      </c>
      <c r="B438" s="37">
        <v>37</v>
      </c>
      <c r="C438" s="55">
        <v>22.85</v>
      </c>
      <c r="D438" s="55">
        <v>16.72</v>
      </c>
      <c r="E438" s="56">
        <f>(PI()*(Pinus[[#This Row],[d_cm]]^2))/40000</f>
        <v>4.1007405256848428E-2</v>
      </c>
      <c r="F438" s="56">
        <f>Pinus[[#This Row],[gi_m²]]*Pinus[[#This Row],[h_m]]*0.45</f>
        <v>0.30853971715252754</v>
      </c>
    </row>
    <row r="439" spans="1:6" x14ac:dyDescent="0.3">
      <c r="A439" s="37">
        <v>5</v>
      </c>
      <c r="B439" s="37">
        <v>38</v>
      </c>
      <c r="C439" s="55">
        <v>24.34</v>
      </c>
      <c r="D439" s="55">
        <v>17.010000000000002</v>
      </c>
      <c r="E439" s="56">
        <f>(PI()*(Pinus[[#This Row],[d_cm]]^2))/40000</f>
        <v>4.652978321712653E-2</v>
      </c>
      <c r="F439" s="56">
        <f>Pinus[[#This Row],[gi_m²]]*Pinus[[#This Row],[h_m]]*0.45</f>
        <v>0.35616222563549504</v>
      </c>
    </row>
    <row r="440" spans="1:6" x14ac:dyDescent="0.3">
      <c r="A440" s="37">
        <v>5</v>
      </c>
      <c r="B440" s="37">
        <v>39</v>
      </c>
      <c r="C440" s="55">
        <v>11.1</v>
      </c>
      <c r="D440" s="55">
        <v>13.33</v>
      </c>
      <c r="E440" s="56">
        <f>(PI()*(Pinus[[#This Row],[d_cm]]^2))/40000</f>
        <v>9.6768907712199599E-3</v>
      </c>
      <c r="F440" s="56">
        <f>Pinus[[#This Row],[gi_m²]]*Pinus[[#This Row],[h_m]]*0.45</f>
        <v>5.8046829291162928E-2</v>
      </c>
    </row>
    <row r="441" spans="1:6" x14ac:dyDescent="0.3">
      <c r="A441" s="37">
        <v>5</v>
      </c>
      <c r="B441" s="37">
        <v>40</v>
      </c>
      <c r="C441" s="55">
        <v>24.94</v>
      </c>
      <c r="D441" s="55">
        <v>17.13</v>
      </c>
      <c r="E441" s="56">
        <f>(PI()*(Pinus[[#This Row],[d_cm]]^2))/40000</f>
        <v>4.8852048506660119E-2</v>
      </c>
      <c r="F441" s="56">
        <f>Pinus[[#This Row],[gi_m²]]*Pinus[[#This Row],[h_m]]*0.45</f>
        <v>0.37657601591358952</v>
      </c>
    </row>
    <row r="442" spans="1:6" x14ac:dyDescent="0.3">
      <c r="A442" s="37">
        <v>5</v>
      </c>
      <c r="B442" s="37">
        <v>41</v>
      </c>
      <c r="C442" s="55">
        <v>15.04</v>
      </c>
      <c r="D442" s="55">
        <v>14.75</v>
      </c>
      <c r="E442" s="56">
        <f>(PI()*(Pinus[[#This Row],[d_cm]]^2))/40000</f>
        <v>1.7765832119756422E-2</v>
      </c>
      <c r="F442" s="56">
        <f>Pinus[[#This Row],[gi_m²]]*Pinus[[#This Row],[h_m]]*0.45</f>
        <v>0.11792071069488326</v>
      </c>
    </row>
    <row r="443" spans="1:6" x14ac:dyDescent="0.3">
      <c r="A443" s="37">
        <v>5</v>
      </c>
      <c r="B443" s="37">
        <v>42</v>
      </c>
      <c r="C443" s="55">
        <v>21.82</v>
      </c>
      <c r="D443" s="55">
        <v>16.5</v>
      </c>
      <c r="E443" s="56">
        <f>(PI()*(Pinus[[#This Row],[d_cm]]^2))/40000</f>
        <v>3.7393780453075127E-2</v>
      </c>
      <c r="F443" s="56">
        <f>Pinus[[#This Row],[gi_m²]]*Pinus[[#This Row],[h_m]]*0.45</f>
        <v>0.2776488198640828</v>
      </c>
    </row>
    <row r="444" spans="1:6" x14ac:dyDescent="0.3">
      <c r="A444" s="37">
        <v>5</v>
      </c>
      <c r="B444" s="37">
        <v>43</v>
      </c>
      <c r="C444" s="55">
        <v>22.64</v>
      </c>
      <c r="D444" s="55">
        <v>16.670000000000002</v>
      </c>
      <c r="E444" s="56">
        <f>(PI()*(Pinus[[#This Row],[d_cm]]^2))/40000</f>
        <v>4.0257122245336473E-2</v>
      </c>
      <c r="F444" s="56">
        <f>Pinus[[#This Row],[gi_m²]]*Pinus[[#This Row],[h_m]]*0.45</f>
        <v>0.30198880252339155</v>
      </c>
    </row>
    <row r="445" spans="1:6" x14ac:dyDescent="0.3">
      <c r="A445" s="37">
        <v>5</v>
      </c>
      <c r="B445" s="37">
        <v>44</v>
      </c>
      <c r="C445" s="55">
        <v>19.2</v>
      </c>
      <c r="D445" s="55">
        <v>15.9</v>
      </c>
      <c r="E445" s="56">
        <f>(PI()*(Pinus[[#This Row],[d_cm]]^2))/40000</f>
        <v>2.8952917895483536E-2</v>
      </c>
      <c r="F445" s="56">
        <f>Pinus[[#This Row],[gi_m²]]*Pinus[[#This Row],[h_m]]*0.45</f>
        <v>0.20715812754218471</v>
      </c>
    </row>
    <row r="446" spans="1:6" x14ac:dyDescent="0.3">
      <c r="A446" s="37">
        <v>5</v>
      </c>
      <c r="B446" s="37">
        <v>45</v>
      </c>
      <c r="C446" s="55">
        <v>17.420000000000002</v>
      </c>
      <c r="D446" s="55">
        <v>15.44</v>
      </c>
      <c r="E446" s="56">
        <f>(PI()*(Pinus[[#This Row],[d_cm]]^2))/40000</f>
        <v>2.383340992312015E-2</v>
      </c>
      <c r="F446" s="56">
        <f>Pinus[[#This Row],[gi_m²]]*Pinus[[#This Row],[h_m]]*0.45</f>
        <v>0.1655945321458388</v>
      </c>
    </row>
    <row r="447" spans="1:6" x14ac:dyDescent="0.3">
      <c r="A447" s="37">
        <v>5</v>
      </c>
      <c r="B447" s="37">
        <v>46</v>
      </c>
      <c r="C447" s="55">
        <v>20.66</v>
      </c>
      <c r="D447" s="55">
        <v>16.239999999999998</v>
      </c>
      <c r="E447" s="56">
        <f>(PI()*(Pinus[[#This Row],[d_cm]]^2))/40000</f>
        <v>3.352358963126479E-2</v>
      </c>
      <c r="F447" s="56">
        <f>Pinus[[#This Row],[gi_m²]]*Pinus[[#This Row],[h_m]]*0.45</f>
        <v>0.24499039302528308</v>
      </c>
    </row>
    <row r="448" spans="1:6" x14ac:dyDescent="0.3">
      <c r="A448" s="37">
        <v>5</v>
      </c>
      <c r="B448" s="37">
        <v>47</v>
      </c>
      <c r="C448" s="55">
        <v>21.76</v>
      </c>
      <c r="D448" s="55">
        <v>16.489999999999998</v>
      </c>
      <c r="E448" s="56">
        <f>(PI()*(Pinus[[#This Row],[d_cm]]^2))/40000</f>
        <v>3.7188414541309972E-2</v>
      </c>
      <c r="F448" s="56">
        <f>Pinus[[#This Row],[gi_m²]]*Pinus[[#This Row],[h_m]]*0.45</f>
        <v>0.27595663010379062</v>
      </c>
    </row>
    <row r="449" spans="1:6" x14ac:dyDescent="0.3">
      <c r="A449" s="37">
        <v>5</v>
      </c>
      <c r="B449" s="37">
        <v>48</v>
      </c>
      <c r="C449" s="55">
        <v>23.53</v>
      </c>
      <c r="D449" s="55">
        <v>16.850000000000001</v>
      </c>
      <c r="E449" s="56">
        <f>(PI()*(Pinus[[#This Row],[d_cm]]^2))/40000</f>
        <v>4.348442540049783E-2</v>
      </c>
      <c r="F449" s="56">
        <f>Pinus[[#This Row],[gi_m²]]*Pinus[[#This Row],[h_m]]*0.45</f>
        <v>0.32972065559927483</v>
      </c>
    </row>
    <row r="450" spans="1:6" x14ac:dyDescent="0.3">
      <c r="A450" s="37">
        <v>5</v>
      </c>
      <c r="B450" s="37">
        <v>49</v>
      </c>
      <c r="C450" s="55">
        <v>11.79</v>
      </c>
      <c r="D450" s="55">
        <v>13.61</v>
      </c>
      <c r="E450" s="56">
        <f>(PI()*(Pinus[[#This Row],[d_cm]]^2))/40000</f>
        <v>1.0917356484471523E-2</v>
      </c>
      <c r="F450" s="56">
        <f>Pinus[[#This Row],[gi_m²]]*Pinus[[#This Row],[h_m]]*0.45</f>
        <v>6.6863349789145848E-2</v>
      </c>
    </row>
    <row r="451" spans="1:6" x14ac:dyDescent="0.3">
      <c r="A451" s="37">
        <v>5</v>
      </c>
      <c r="B451" s="37">
        <v>50</v>
      </c>
      <c r="C451" s="55">
        <v>13.45</v>
      </c>
      <c r="D451" s="55">
        <v>14.23</v>
      </c>
      <c r="E451" s="56">
        <f>(PI()*(Pinus[[#This Row],[d_cm]]^2))/40000</f>
        <v>1.4208049125400685E-2</v>
      </c>
      <c r="F451" s="56">
        <f>Pinus[[#This Row],[gi_m²]]*Pinus[[#This Row],[h_m]]*0.45</f>
        <v>9.0981242574503282E-2</v>
      </c>
    </row>
    <row r="452" spans="1:6" x14ac:dyDescent="0.3">
      <c r="A452" s="37">
        <v>5</v>
      </c>
      <c r="B452" s="37">
        <v>51</v>
      </c>
      <c r="C452" s="55">
        <v>25.72</v>
      </c>
      <c r="D452" s="55">
        <v>17.27</v>
      </c>
      <c r="E452" s="56">
        <f>(PI()*(Pinus[[#This Row],[d_cm]]^2))/40000</f>
        <v>5.1955533641361851E-2</v>
      </c>
      <c r="F452" s="56">
        <f>Pinus[[#This Row],[gi_m²]]*Pinus[[#This Row],[h_m]]*0.45</f>
        <v>0.40377242969384364</v>
      </c>
    </row>
    <row r="453" spans="1:6" x14ac:dyDescent="0.3">
      <c r="A453" s="37">
        <v>5</v>
      </c>
      <c r="B453" s="37">
        <v>52</v>
      </c>
      <c r="C453" s="55">
        <v>24.19</v>
      </c>
      <c r="D453" s="55">
        <v>16.98</v>
      </c>
      <c r="E453" s="56">
        <f>(PI()*(Pinus[[#This Row],[d_cm]]^2))/40000</f>
        <v>4.5958052624081362E-2</v>
      </c>
      <c r="F453" s="56">
        <f>Pinus[[#This Row],[gi_m²]]*Pinus[[#This Row],[h_m]]*0.45</f>
        <v>0.35116548010060572</v>
      </c>
    </row>
    <row r="454" spans="1:6" x14ac:dyDescent="0.3">
      <c r="A454" s="37">
        <v>5</v>
      </c>
      <c r="B454" s="37">
        <v>53</v>
      </c>
      <c r="C454" s="55">
        <v>21.74</v>
      </c>
      <c r="D454" s="55">
        <v>16.48</v>
      </c>
      <c r="E454" s="56">
        <f>(PI()*(Pinus[[#This Row],[d_cm]]^2))/40000</f>
        <v>3.7120084901094377E-2</v>
      </c>
      <c r="F454" s="56">
        <f>Pinus[[#This Row],[gi_m²]]*Pinus[[#This Row],[h_m]]*0.45</f>
        <v>0.27528254962651594</v>
      </c>
    </row>
    <row r="455" spans="1:6" x14ac:dyDescent="0.3">
      <c r="A455" s="37">
        <v>5</v>
      </c>
      <c r="B455" s="37">
        <v>54</v>
      </c>
      <c r="C455" s="55">
        <v>22.86</v>
      </c>
      <c r="D455" s="55">
        <v>16.72</v>
      </c>
      <c r="E455" s="56">
        <f>(PI()*(Pinus[[#This Row],[d_cm]]^2))/40000</f>
        <v>4.1043305806897322E-2</v>
      </c>
      <c r="F455" s="56">
        <f>Pinus[[#This Row],[gi_m²]]*Pinus[[#This Row],[h_m]]*0.45</f>
        <v>0.30880983289109543</v>
      </c>
    </row>
    <row r="456" spans="1:6" x14ac:dyDescent="0.3">
      <c r="A456" s="37">
        <v>5</v>
      </c>
      <c r="B456" s="37">
        <v>55</v>
      </c>
      <c r="C456" s="55">
        <v>23.67</v>
      </c>
      <c r="D456" s="55">
        <v>16.88</v>
      </c>
      <c r="E456" s="56">
        <f>(PI()*(Pinus[[#This Row],[d_cm]]^2))/40000</f>
        <v>4.4003416506870868E-2</v>
      </c>
      <c r="F456" s="56">
        <f>Pinus[[#This Row],[gi_m²]]*Pinus[[#This Row],[h_m]]*0.45</f>
        <v>0.3342499517861911</v>
      </c>
    </row>
    <row r="457" spans="1:6" x14ac:dyDescent="0.3">
      <c r="A457" s="37">
        <v>5</v>
      </c>
      <c r="B457" s="37">
        <v>56</v>
      </c>
      <c r="C457" s="55">
        <v>9.36</v>
      </c>
      <c r="D457" s="55">
        <v>12.53</v>
      </c>
      <c r="E457" s="56">
        <f>(PI()*(Pinus[[#This Row],[d_cm]]^2))/40000</f>
        <v>6.8808418935985072E-3</v>
      </c>
      <c r="F457" s="56">
        <f>Pinus[[#This Row],[gi_m²]]*Pinus[[#This Row],[h_m]]*0.45</f>
        <v>3.8797627017055178E-2</v>
      </c>
    </row>
    <row r="458" spans="1:6" x14ac:dyDescent="0.3">
      <c r="A458" s="37">
        <v>5</v>
      </c>
      <c r="B458" s="37">
        <v>57</v>
      </c>
      <c r="C458" s="55">
        <v>24.44</v>
      </c>
      <c r="D458" s="55">
        <v>17.03</v>
      </c>
      <c r="E458" s="56">
        <f>(PI()*(Pinus[[#This Row],[d_cm]]^2))/40000</f>
        <v>4.6912900441231815E-2</v>
      </c>
      <c r="F458" s="56">
        <f>Pinus[[#This Row],[gi_m²]]*Pinus[[#This Row],[h_m]]*0.45</f>
        <v>0.35951701253138002</v>
      </c>
    </row>
    <row r="459" spans="1:6" x14ac:dyDescent="0.3">
      <c r="A459" s="37">
        <v>5</v>
      </c>
      <c r="B459" s="37">
        <v>58</v>
      </c>
      <c r="C459" s="55">
        <v>18.059999999999999</v>
      </c>
      <c r="D459" s="55">
        <v>15.61</v>
      </c>
      <c r="E459" s="56">
        <f>(PI()*(Pinus[[#This Row],[d_cm]]^2))/40000</f>
        <v>2.5616829240709994E-2</v>
      </c>
      <c r="F459" s="56">
        <f>Pinus[[#This Row],[gi_m²]]*Pinus[[#This Row],[h_m]]*0.45</f>
        <v>0.17994541700136735</v>
      </c>
    </row>
    <row r="460" spans="1:6" x14ac:dyDescent="0.3">
      <c r="A460" s="37">
        <v>5</v>
      </c>
      <c r="B460" s="37">
        <v>59</v>
      </c>
      <c r="C460" s="55">
        <v>20.92</v>
      </c>
      <c r="D460" s="55">
        <v>16.3</v>
      </c>
      <c r="E460" s="56">
        <f>(PI()*(Pinus[[#This Row],[d_cm]]^2))/40000</f>
        <v>3.4372667877750507E-2</v>
      </c>
      <c r="F460" s="56">
        <f>Pinus[[#This Row],[gi_m²]]*Pinus[[#This Row],[h_m]]*0.45</f>
        <v>0.25212351888329998</v>
      </c>
    </row>
    <row r="461" spans="1:6" x14ac:dyDescent="0.3">
      <c r="A461" s="37">
        <v>5</v>
      </c>
      <c r="B461" s="37">
        <v>60</v>
      </c>
      <c r="C461" s="55">
        <v>18.82</v>
      </c>
      <c r="D461" s="55">
        <v>15.81</v>
      </c>
      <c r="E461" s="56">
        <f>(PI()*(Pinus[[#This Row],[d_cm]]^2))/40000</f>
        <v>2.7818206044933437E-2</v>
      </c>
      <c r="F461" s="56">
        <f>Pinus[[#This Row],[gi_m²]]*Pinus[[#This Row],[h_m]]*0.45</f>
        <v>0.19791262690667893</v>
      </c>
    </row>
    <row r="462" spans="1:6" x14ac:dyDescent="0.3">
      <c r="A462" s="37">
        <v>5</v>
      </c>
      <c r="B462" s="37">
        <v>61</v>
      </c>
      <c r="C462" s="55">
        <v>23.49</v>
      </c>
      <c r="D462" s="55">
        <v>16.850000000000001</v>
      </c>
      <c r="E462" s="56">
        <f>(PI()*(Pinus[[#This Row],[d_cm]]^2))/40000</f>
        <v>4.3336707713926031E-2</v>
      </c>
      <c r="F462" s="56">
        <f>Pinus[[#This Row],[gi_m²]]*Pinus[[#This Row],[h_m]]*0.45</f>
        <v>0.32860058624084415</v>
      </c>
    </row>
    <row r="463" spans="1:6" x14ac:dyDescent="0.3">
      <c r="A463" s="37">
        <v>5</v>
      </c>
      <c r="B463" s="37">
        <v>62</v>
      </c>
      <c r="C463" s="55">
        <v>18.61</v>
      </c>
      <c r="D463" s="55">
        <v>15.75</v>
      </c>
      <c r="E463" s="56">
        <f>(PI()*(Pinus[[#This Row],[d_cm]]^2))/40000</f>
        <v>2.7200859526558138E-2</v>
      </c>
      <c r="F463" s="56">
        <f>Pinus[[#This Row],[gi_m²]]*Pinus[[#This Row],[h_m]]*0.45</f>
        <v>0.19278609189448082</v>
      </c>
    </row>
    <row r="464" spans="1:6" x14ac:dyDescent="0.3">
      <c r="A464" s="37">
        <v>5</v>
      </c>
      <c r="B464" s="37">
        <v>63</v>
      </c>
      <c r="C464" s="55">
        <v>22.07</v>
      </c>
      <c r="D464" s="55">
        <v>16.55</v>
      </c>
      <c r="E464" s="56">
        <f>(PI()*(Pinus[[#This Row],[d_cm]]^2))/40000</f>
        <v>3.8255558587862976E-2</v>
      </c>
      <c r="F464" s="56">
        <f>Pinus[[#This Row],[gi_m²]]*Pinus[[#This Row],[h_m]]*0.45</f>
        <v>0.28490827258310952</v>
      </c>
    </row>
    <row r="465" spans="1:6" x14ac:dyDescent="0.3">
      <c r="A465" s="37">
        <v>5</v>
      </c>
      <c r="B465" s="37">
        <v>64</v>
      </c>
      <c r="C465" s="55">
        <v>18.440000000000001</v>
      </c>
      <c r="D465" s="55">
        <v>15.71</v>
      </c>
      <c r="E465" s="56">
        <f>(PI()*(Pinus[[#This Row],[d_cm]]^2))/40000</f>
        <v>2.6706176493342258E-2</v>
      </c>
      <c r="F465" s="56">
        <f>Pinus[[#This Row],[gi_m²]]*Pinus[[#This Row],[h_m]]*0.45</f>
        <v>0.18879931471968309</v>
      </c>
    </row>
    <row r="466" spans="1:6" x14ac:dyDescent="0.3">
      <c r="A466" s="37">
        <v>5</v>
      </c>
      <c r="B466" s="37">
        <v>65</v>
      </c>
      <c r="C466" s="55">
        <v>15.63</v>
      </c>
      <c r="D466" s="55">
        <v>14.93</v>
      </c>
      <c r="E466" s="56">
        <f>(PI()*(Pinus[[#This Row],[d_cm]]^2))/40000</f>
        <v>1.9187033658369008E-2</v>
      </c>
      <c r="F466" s="56">
        <f>Pinus[[#This Row],[gi_m²]]*Pinus[[#This Row],[h_m]]*0.45</f>
        <v>0.12890808563375217</v>
      </c>
    </row>
    <row r="467" spans="1:6" x14ac:dyDescent="0.3">
      <c r="A467" s="37">
        <v>5</v>
      </c>
      <c r="B467" s="37">
        <v>66</v>
      </c>
      <c r="C467" s="55">
        <v>24.84</v>
      </c>
      <c r="D467" s="55">
        <v>17.11</v>
      </c>
      <c r="E467" s="56">
        <f>(PI()*(Pinus[[#This Row],[d_cm]]^2))/40000</f>
        <v>4.8461077300920849E-2</v>
      </c>
      <c r="F467" s="56">
        <f>Pinus[[#This Row],[gi_m²]]*Pinus[[#This Row],[h_m]]*0.45</f>
        <v>0.37312606467844012</v>
      </c>
    </row>
    <row r="468" spans="1:6" x14ac:dyDescent="0.3">
      <c r="A468" s="37">
        <v>5</v>
      </c>
      <c r="B468" s="37">
        <v>67</v>
      </c>
      <c r="C468" s="55">
        <v>22.96</v>
      </c>
      <c r="D468" s="55">
        <v>16.739999999999998</v>
      </c>
      <c r="E468" s="56">
        <f>(PI()*(Pinus[[#This Row],[d_cm]]^2))/40000</f>
        <v>4.1403175245366027E-2</v>
      </c>
      <c r="F468" s="56">
        <f>Pinus[[#This Row],[gi_m²]]*Pinus[[#This Row],[h_m]]*0.45</f>
        <v>0.31189011912334225</v>
      </c>
    </row>
    <row r="469" spans="1:6" x14ac:dyDescent="0.3">
      <c r="A469" s="37">
        <v>5</v>
      </c>
      <c r="B469" s="37">
        <v>68</v>
      </c>
      <c r="C469" s="55">
        <v>26.9</v>
      </c>
      <c r="D469" s="55">
        <v>17.48</v>
      </c>
      <c r="E469" s="56">
        <f>(PI()*(Pinus[[#This Row],[d_cm]]^2))/40000</f>
        <v>5.683219650160274E-2</v>
      </c>
      <c r="F469" s="56">
        <f>Pinus[[#This Row],[gi_m²]]*Pinus[[#This Row],[h_m]]*0.45</f>
        <v>0.44704205768160715</v>
      </c>
    </row>
    <row r="470" spans="1:6" x14ac:dyDescent="0.3">
      <c r="A470" s="37">
        <v>5</v>
      </c>
      <c r="B470" s="37">
        <v>69</v>
      </c>
      <c r="C470" s="55">
        <v>20.260000000000002</v>
      </c>
      <c r="D470" s="55">
        <v>16.149999999999999</v>
      </c>
      <c r="E470" s="56">
        <f>(PI()*(Pinus[[#This Row],[d_cm]]^2))/40000</f>
        <v>3.2238049917415849E-2</v>
      </c>
      <c r="F470" s="56">
        <f>Pinus[[#This Row],[gi_m²]]*Pinus[[#This Row],[h_m]]*0.45</f>
        <v>0.23429002777481966</v>
      </c>
    </row>
    <row r="471" spans="1:6" x14ac:dyDescent="0.3">
      <c r="A471" s="37">
        <v>5</v>
      </c>
      <c r="B471" s="37">
        <v>70</v>
      </c>
      <c r="C471" s="55">
        <v>24.5</v>
      </c>
      <c r="D471" s="55">
        <v>17.04</v>
      </c>
      <c r="E471" s="56">
        <f>(PI()*(Pinus[[#This Row],[d_cm]]^2))/40000</f>
        <v>4.7143524757931835E-2</v>
      </c>
      <c r="F471" s="56">
        <f>Pinus[[#This Row],[gi_m²]]*Pinus[[#This Row],[h_m]]*0.45</f>
        <v>0.36149654784382129</v>
      </c>
    </row>
    <row r="472" spans="1:6" x14ac:dyDescent="0.3">
      <c r="A472" s="37">
        <v>5</v>
      </c>
      <c r="B472" s="37">
        <v>71</v>
      </c>
      <c r="C472" s="55">
        <v>27.9</v>
      </c>
      <c r="D472" s="55">
        <v>17.649999999999999</v>
      </c>
      <c r="E472" s="56">
        <f>(PI()*(Pinus[[#This Row],[d_cm]]^2))/40000</f>
        <v>6.1136178437020773E-2</v>
      </c>
      <c r="F472" s="56">
        <f>Pinus[[#This Row],[gi_m²]]*Pinus[[#This Row],[h_m]]*0.45</f>
        <v>0.48557409723603745</v>
      </c>
    </row>
    <row r="473" spans="1:6" x14ac:dyDescent="0.3">
      <c r="A473" s="37">
        <v>5</v>
      </c>
      <c r="B473" s="37">
        <v>72</v>
      </c>
      <c r="C473" s="55">
        <v>18.87</v>
      </c>
      <c r="D473" s="55">
        <v>15.82</v>
      </c>
      <c r="E473" s="56">
        <f>(PI()*(Pinus[[#This Row],[d_cm]]^2))/40000</f>
        <v>2.7966214328825685E-2</v>
      </c>
      <c r="F473" s="56">
        <f>Pinus[[#This Row],[gi_m²]]*Pinus[[#This Row],[h_m]]*0.45</f>
        <v>0.19909147980691005</v>
      </c>
    </row>
    <row r="474" spans="1:6" x14ac:dyDescent="0.3">
      <c r="A474" s="37">
        <v>5</v>
      </c>
      <c r="B474" s="37">
        <v>73</v>
      </c>
      <c r="C474" s="55">
        <v>14.71</v>
      </c>
      <c r="D474" s="55">
        <v>14.65</v>
      </c>
      <c r="E474" s="56">
        <f>(PI()*(Pinus[[#This Row],[d_cm]]^2))/40000</f>
        <v>1.6994767472840979E-2</v>
      </c>
      <c r="F474" s="56">
        <f>Pinus[[#This Row],[gi_m²]]*Pinus[[#This Row],[h_m]]*0.45</f>
        <v>0.11203800456470417</v>
      </c>
    </row>
    <row r="475" spans="1:6" x14ac:dyDescent="0.3">
      <c r="A475" s="37">
        <v>5</v>
      </c>
      <c r="B475" s="37">
        <v>74</v>
      </c>
      <c r="C475" s="55">
        <v>19.04</v>
      </c>
      <c r="D475" s="55">
        <v>15.86</v>
      </c>
      <c r="E475" s="56">
        <f>(PI()*(Pinus[[#This Row],[d_cm]]^2))/40000</f>
        <v>2.847237988319044E-2</v>
      </c>
      <c r="F475" s="56">
        <f>Pinus[[#This Row],[gi_m²]]*Pinus[[#This Row],[h_m]]*0.45</f>
        <v>0.20320737522633017</v>
      </c>
    </row>
    <row r="476" spans="1:6" x14ac:dyDescent="0.3">
      <c r="A476" s="37">
        <v>5</v>
      </c>
      <c r="B476" s="37">
        <v>75</v>
      </c>
      <c r="C476" s="55">
        <v>19.14</v>
      </c>
      <c r="D476" s="55">
        <v>15.89</v>
      </c>
      <c r="E476" s="56">
        <f>(PI()*(Pinus[[#This Row],[d_cm]]^2))/40000</f>
        <v>2.8772244901975587E-2</v>
      </c>
      <c r="F476" s="56">
        <f>Pinus[[#This Row],[gi_m²]]*Pinus[[#This Row],[h_m]]*0.45</f>
        <v>0.20573593717157643</v>
      </c>
    </row>
    <row r="477" spans="1:6" x14ac:dyDescent="0.3">
      <c r="A477" s="37">
        <v>5</v>
      </c>
      <c r="B477" s="37">
        <v>76</v>
      </c>
      <c r="C477" s="55">
        <v>20.61</v>
      </c>
      <c r="D477" s="55">
        <v>16.23</v>
      </c>
      <c r="E477" s="56">
        <f>(PI()*(Pinus[[#This Row],[d_cm]]^2))/40000</f>
        <v>3.336152272024772E-2</v>
      </c>
      <c r="F477" s="56">
        <f>Pinus[[#This Row],[gi_m²]]*Pinus[[#This Row],[h_m]]*0.45</f>
        <v>0.24365588118732923</v>
      </c>
    </row>
    <row r="478" spans="1:6" x14ac:dyDescent="0.3">
      <c r="A478" s="37">
        <v>5</v>
      </c>
      <c r="B478" s="37">
        <v>77</v>
      </c>
      <c r="C478" s="55">
        <v>26.85</v>
      </c>
      <c r="D478" s="55">
        <v>17.47</v>
      </c>
      <c r="E478" s="56">
        <f>(PI()*(Pinus[[#This Row],[d_cm]]^2))/40000</f>
        <v>5.6621120745189706E-2</v>
      </c>
      <c r="F478" s="56">
        <f>Pinus[[#This Row],[gi_m²]]*Pinus[[#This Row],[h_m]]*0.45</f>
        <v>0.44512694073830883</v>
      </c>
    </row>
    <row r="479" spans="1:6" x14ac:dyDescent="0.3">
      <c r="A479" s="37">
        <v>5</v>
      </c>
      <c r="B479" s="37">
        <v>78</v>
      </c>
      <c r="C479" s="55">
        <v>18.7</v>
      </c>
      <c r="D479" s="55">
        <v>15.78</v>
      </c>
      <c r="E479" s="56">
        <f>(PI()*(Pinus[[#This Row],[d_cm]]^2))/40000</f>
        <v>2.746458837584537E-2</v>
      </c>
      <c r="F479" s="56">
        <f>Pinus[[#This Row],[gi_m²]]*Pinus[[#This Row],[h_m]]*0.45</f>
        <v>0.19502604205687796</v>
      </c>
    </row>
    <row r="480" spans="1:6" x14ac:dyDescent="0.3">
      <c r="A480" s="37">
        <v>5</v>
      </c>
      <c r="B480" s="37">
        <v>79</v>
      </c>
      <c r="C480" s="55">
        <v>21.49</v>
      </c>
      <c r="D480" s="55">
        <v>16.43</v>
      </c>
      <c r="E480" s="56">
        <f>(PI()*(Pinus[[#This Row],[d_cm]]^2))/40000</f>
        <v>3.6271265836002584E-2</v>
      </c>
      <c r="F480" s="56">
        <f>Pinus[[#This Row],[gi_m²]]*Pinus[[#This Row],[h_m]]*0.45</f>
        <v>0.26817160395848511</v>
      </c>
    </row>
    <row r="481" spans="1:6" x14ac:dyDescent="0.3">
      <c r="A481" s="37">
        <v>5</v>
      </c>
      <c r="B481" s="37">
        <v>80</v>
      </c>
      <c r="C481" s="55">
        <v>19.09</v>
      </c>
      <c r="D481" s="55">
        <v>15.87</v>
      </c>
      <c r="E481" s="56">
        <f>(PI()*(Pinus[[#This Row],[d_cm]]^2))/40000</f>
        <v>2.862211604304216E-2</v>
      </c>
      <c r="F481" s="56">
        <f>Pinus[[#This Row],[gi_m²]]*Pinus[[#This Row],[h_m]]*0.45</f>
        <v>0.20440484172138559</v>
      </c>
    </row>
    <row r="482" spans="1:6" x14ac:dyDescent="0.3">
      <c r="A482" s="37">
        <v>5</v>
      </c>
      <c r="B482" s="37">
        <v>81</v>
      </c>
      <c r="C482" s="55">
        <v>20.079999999999998</v>
      </c>
      <c r="D482" s="55">
        <v>16.11</v>
      </c>
      <c r="E482" s="56">
        <f>(PI()*(Pinus[[#This Row],[d_cm]]^2))/40000</f>
        <v>3.1667756603009682E-2</v>
      </c>
      <c r="F482" s="56">
        <f>Pinus[[#This Row],[gi_m²]]*Pinus[[#This Row],[h_m]]*0.45</f>
        <v>0.22957540149351868</v>
      </c>
    </row>
    <row r="483" spans="1:6" x14ac:dyDescent="0.3">
      <c r="A483" s="37">
        <v>5</v>
      </c>
      <c r="B483" s="37">
        <v>82</v>
      </c>
      <c r="C483" s="55">
        <v>21.26</v>
      </c>
      <c r="D483" s="55">
        <v>16.38</v>
      </c>
      <c r="E483" s="56">
        <f>(PI()*(Pinus[[#This Row],[d_cm]]^2))/40000</f>
        <v>3.5499023091842052E-2</v>
      </c>
      <c r="F483" s="56">
        <f>Pinus[[#This Row],[gi_m²]]*Pinus[[#This Row],[h_m]]*0.45</f>
        <v>0.26166329920996773</v>
      </c>
    </row>
    <row r="484" spans="1:6" x14ac:dyDescent="0.3">
      <c r="A484" s="37">
        <v>5</v>
      </c>
      <c r="B484" s="37">
        <v>83</v>
      </c>
      <c r="C484" s="55">
        <v>25.31</v>
      </c>
      <c r="D484" s="55">
        <v>17.2</v>
      </c>
      <c r="E484" s="56">
        <f>(PI()*(Pinus[[#This Row],[d_cm]]^2))/40000</f>
        <v>5.031230004195681E-2</v>
      </c>
      <c r="F484" s="56">
        <f>Pinus[[#This Row],[gi_m²]]*Pinus[[#This Row],[h_m]]*0.45</f>
        <v>0.38941720232474569</v>
      </c>
    </row>
    <row r="485" spans="1:6" x14ac:dyDescent="0.3">
      <c r="A485" s="37">
        <v>5</v>
      </c>
      <c r="B485" s="37">
        <v>84</v>
      </c>
      <c r="C485" s="55">
        <v>20.49</v>
      </c>
      <c r="D485" s="55">
        <v>16.2</v>
      </c>
      <c r="E485" s="56">
        <f>(PI()*(Pinus[[#This Row],[d_cm]]^2))/40000</f>
        <v>3.2974164346060097E-2</v>
      </c>
      <c r="F485" s="56">
        <f>Pinus[[#This Row],[gi_m²]]*Pinus[[#This Row],[h_m]]*0.45</f>
        <v>0.24038165808277812</v>
      </c>
    </row>
    <row r="486" spans="1:6" x14ac:dyDescent="0.3">
      <c r="A486" s="37">
        <v>5</v>
      </c>
      <c r="B486" s="37">
        <v>85</v>
      </c>
      <c r="C486" s="55">
        <v>22.85</v>
      </c>
      <c r="D486" s="55">
        <v>16.72</v>
      </c>
      <c r="E486" s="56">
        <f>(PI()*(Pinus[[#This Row],[d_cm]]^2))/40000</f>
        <v>4.1007405256848428E-2</v>
      </c>
      <c r="F486" s="56">
        <f>Pinus[[#This Row],[gi_m²]]*Pinus[[#This Row],[h_m]]*0.45</f>
        <v>0.30853971715252754</v>
      </c>
    </row>
    <row r="487" spans="1:6" x14ac:dyDescent="0.3">
      <c r="A487" s="37">
        <v>5</v>
      </c>
      <c r="B487" s="37">
        <v>86</v>
      </c>
      <c r="C487" s="55">
        <v>23.12</v>
      </c>
      <c r="D487" s="55">
        <v>16.77</v>
      </c>
      <c r="E487" s="56">
        <f>(PI()*(Pinus[[#This Row],[d_cm]]^2))/40000</f>
        <v>4.1982233603275701E-2</v>
      </c>
      <c r="F487" s="56">
        <f>Pinus[[#This Row],[gi_m²]]*Pinus[[#This Row],[h_m]]*0.45</f>
        <v>0.31681892588712007</v>
      </c>
    </row>
    <row r="488" spans="1:6" x14ac:dyDescent="0.3">
      <c r="A488" s="37">
        <v>5</v>
      </c>
      <c r="B488" s="37">
        <v>87</v>
      </c>
      <c r="C488" s="55">
        <v>23.66</v>
      </c>
      <c r="D488" s="55">
        <v>16.88</v>
      </c>
      <c r="E488" s="56">
        <f>(PI()*(Pinus[[#This Row],[d_cm]]^2))/40000</f>
        <v>4.3966243611797261E-2</v>
      </c>
      <c r="F488" s="56">
        <f>Pinus[[#This Row],[gi_m²]]*Pinus[[#This Row],[h_m]]*0.45</f>
        <v>0.33396758647521196</v>
      </c>
    </row>
    <row r="489" spans="1:6" x14ac:dyDescent="0.3">
      <c r="A489" s="37">
        <v>5</v>
      </c>
      <c r="B489" s="37">
        <v>88</v>
      </c>
      <c r="C489" s="55">
        <v>17.7</v>
      </c>
      <c r="D489" s="55">
        <v>15.52</v>
      </c>
      <c r="E489" s="56">
        <f>(PI()*(Pinus[[#This Row],[d_cm]]^2))/40000</f>
        <v>2.4605739061078654E-2</v>
      </c>
      <c r="F489" s="56">
        <f>Pinus[[#This Row],[gi_m²]]*Pinus[[#This Row],[h_m]]*0.45</f>
        <v>0.17184648160257332</v>
      </c>
    </row>
    <row r="490" spans="1:6" x14ac:dyDescent="0.3">
      <c r="A490" s="37">
        <v>5</v>
      </c>
      <c r="B490" s="37">
        <v>89</v>
      </c>
      <c r="C490" s="55">
        <v>26.51</v>
      </c>
      <c r="D490" s="55">
        <v>17.41</v>
      </c>
      <c r="E490" s="56">
        <f>(PI()*(Pinus[[#This Row],[d_cm]]^2))/40000</f>
        <v>5.5196219981227514E-2</v>
      </c>
      <c r="F490" s="56">
        <f>Pinus[[#This Row],[gi_m²]]*Pinus[[#This Row],[h_m]]*0.45</f>
        <v>0.43243478544292696</v>
      </c>
    </row>
    <row r="491" spans="1:6" x14ac:dyDescent="0.3">
      <c r="A491" s="37">
        <v>5</v>
      </c>
      <c r="B491" s="37">
        <v>90</v>
      </c>
      <c r="C491" s="55">
        <v>18.48</v>
      </c>
      <c r="D491" s="55">
        <v>15.72</v>
      </c>
      <c r="E491" s="56">
        <f>(PI()*(Pinus[[#This Row],[d_cm]]^2))/40000</f>
        <v>2.6822164094112793E-2</v>
      </c>
      <c r="F491" s="56">
        <f>Pinus[[#This Row],[gi_m²]]*Pinus[[#This Row],[h_m]]*0.45</f>
        <v>0.18973998880175391</v>
      </c>
    </row>
    <row r="492" spans="1:6" x14ac:dyDescent="0.3">
      <c r="A492" s="37">
        <v>5</v>
      </c>
      <c r="B492" s="37">
        <v>91</v>
      </c>
      <c r="C492" s="55">
        <v>19.579999999999998</v>
      </c>
      <c r="D492" s="55">
        <v>15.99</v>
      </c>
      <c r="E492" s="56">
        <f>(PI()*(Pinus[[#This Row],[d_cm]]^2))/40000</f>
        <v>3.0110312044992541E-2</v>
      </c>
      <c r="F492" s="56">
        <f>Pinus[[#This Row],[gi_m²]]*Pinus[[#This Row],[h_m]]*0.45</f>
        <v>0.21665875031974385</v>
      </c>
    </row>
    <row r="493" spans="1:6" x14ac:dyDescent="0.3">
      <c r="A493" s="37">
        <v>5</v>
      </c>
      <c r="B493" s="37">
        <v>92</v>
      </c>
      <c r="C493" s="55">
        <v>25.62</v>
      </c>
      <c r="D493" s="55">
        <v>17.25</v>
      </c>
      <c r="E493" s="56">
        <f>(PI()*(Pinus[[#This Row],[d_cm]]^2))/40000</f>
        <v>5.1552310224273604E-2</v>
      </c>
      <c r="F493" s="56">
        <f>Pinus[[#This Row],[gi_m²]]*Pinus[[#This Row],[h_m]]*0.45</f>
        <v>0.40017480811592387</v>
      </c>
    </row>
    <row r="494" spans="1:6" x14ac:dyDescent="0.3">
      <c r="A494" s="37">
        <v>5</v>
      </c>
      <c r="B494" s="37">
        <v>93</v>
      </c>
      <c r="C494" s="55">
        <v>25.18</v>
      </c>
      <c r="D494" s="55">
        <v>17.170000000000002</v>
      </c>
      <c r="E494" s="56">
        <f>(PI()*(Pinus[[#This Row],[d_cm]]^2))/40000</f>
        <v>4.9796788249447624E-2</v>
      </c>
      <c r="F494" s="56">
        <f>Pinus[[#This Row],[gi_m²]]*Pinus[[#This Row],[h_m]]*0.45</f>
        <v>0.38475488440935712</v>
      </c>
    </row>
    <row r="495" spans="1:6" x14ac:dyDescent="0.3">
      <c r="A495" s="37">
        <v>5</v>
      </c>
      <c r="B495" s="37">
        <v>94</v>
      </c>
      <c r="C495" s="55">
        <v>15.64</v>
      </c>
      <c r="D495" s="55">
        <v>14.94</v>
      </c>
      <c r="E495" s="56">
        <f>(PI()*(Pinus[[#This Row],[d_cm]]^2))/40000</f>
        <v>1.9211593058938447E-2</v>
      </c>
      <c r="F495" s="56">
        <f>Pinus[[#This Row],[gi_m²]]*Pinus[[#This Row],[h_m]]*0.45</f>
        <v>0.12915954013524319</v>
      </c>
    </row>
    <row r="496" spans="1:6" x14ac:dyDescent="0.3">
      <c r="A496" s="37">
        <v>5</v>
      </c>
      <c r="B496" s="37">
        <v>95</v>
      </c>
      <c r="C496" s="55">
        <v>16.510000000000002</v>
      </c>
      <c r="D496" s="55">
        <v>15.19</v>
      </c>
      <c r="E496" s="56">
        <f>(PI()*(Pinus[[#This Row],[d_cm]]^2))/40000</f>
        <v>2.1408390991869284E-2</v>
      </c>
      <c r="F496" s="56">
        <f>Pinus[[#This Row],[gi_m²]]*Pinus[[#This Row],[h_m]]*0.45</f>
        <v>0.14633705662492247</v>
      </c>
    </row>
    <row r="497" spans="1:6" x14ac:dyDescent="0.3">
      <c r="A497" s="37">
        <v>5</v>
      </c>
      <c r="B497" s="37">
        <v>96</v>
      </c>
      <c r="C497" s="55">
        <v>14.57</v>
      </c>
      <c r="D497" s="55">
        <v>14.6</v>
      </c>
      <c r="E497" s="56">
        <f>(PI()*(Pinus[[#This Row],[d_cm]]^2))/40000</f>
        <v>1.6672817057701097E-2</v>
      </c>
      <c r="F497" s="56">
        <f>Pinus[[#This Row],[gi_m²]]*Pinus[[#This Row],[h_m]]*0.45</f>
        <v>0.10954040806909621</v>
      </c>
    </row>
    <row r="498" spans="1:6" x14ac:dyDescent="0.3">
      <c r="A498" s="37">
        <v>5</v>
      </c>
      <c r="B498" s="37">
        <v>97</v>
      </c>
      <c r="C498" s="55">
        <v>20.73</v>
      </c>
      <c r="D498" s="55">
        <v>16.260000000000002</v>
      </c>
      <c r="E498" s="56">
        <f>(PI()*(Pinus[[#This Row],[d_cm]]^2))/40000</f>
        <v>3.3751143041145931E-2</v>
      </c>
      <c r="F498" s="56">
        <f>Pinus[[#This Row],[gi_m²]]*Pinus[[#This Row],[h_m]]*0.45</f>
        <v>0.24695711363206482</v>
      </c>
    </row>
    <row r="499" spans="1:6" x14ac:dyDescent="0.3">
      <c r="A499" s="37">
        <v>5</v>
      </c>
      <c r="B499" s="37">
        <v>98</v>
      </c>
      <c r="C499" s="55">
        <v>20.66</v>
      </c>
      <c r="D499" s="55">
        <v>16.239999999999998</v>
      </c>
      <c r="E499" s="56">
        <f>(PI()*(Pinus[[#This Row],[d_cm]]^2))/40000</f>
        <v>3.352358963126479E-2</v>
      </c>
      <c r="F499" s="56">
        <f>Pinus[[#This Row],[gi_m²]]*Pinus[[#This Row],[h_m]]*0.45</f>
        <v>0.24499039302528308</v>
      </c>
    </row>
    <row r="500" spans="1:6" x14ac:dyDescent="0.3">
      <c r="A500" s="37">
        <v>5</v>
      </c>
      <c r="B500" s="37">
        <v>99</v>
      </c>
      <c r="C500" s="55">
        <v>21.46</v>
      </c>
      <c r="D500" s="55">
        <v>16.420000000000002</v>
      </c>
      <c r="E500" s="56">
        <f>(PI()*(Pinus[[#This Row],[d_cm]]^2))/40000</f>
        <v>3.6170067282648828E-2</v>
      </c>
      <c r="F500" s="56">
        <f>Pinus[[#This Row],[gi_m²]]*Pinus[[#This Row],[h_m]]*0.45</f>
        <v>0.26726062715149224</v>
      </c>
    </row>
    <row r="501" spans="1:6" x14ac:dyDescent="0.3">
      <c r="A501" s="37">
        <v>5</v>
      </c>
      <c r="B501" s="37">
        <v>100</v>
      </c>
      <c r="C501" s="55">
        <v>22.21</v>
      </c>
      <c r="D501" s="55">
        <v>16.579999999999998</v>
      </c>
      <c r="E501" s="56">
        <f>(PI()*(Pinus[[#This Row],[d_cm]]^2))/40000</f>
        <v>3.8742442617316325E-2</v>
      </c>
      <c r="F501" s="56">
        <f>Pinus[[#This Row],[gi_m²]]*Pinus[[#This Row],[h_m]]*0.45</f>
        <v>0.28905736436779705</v>
      </c>
    </row>
    <row r="502" spans="1:6" x14ac:dyDescent="0.3">
      <c r="A502" s="37">
        <v>6</v>
      </c>
      <c r="B502" s="37">
        <v>1</v>
      </c>
      <c r="C502" s="55">
        <v>17.59</v>
      </c>
      <c r="D502" s="55">
        <v>14.78</v>
      </c>
      <c r="E502" s="56">
        <f>(PI()*(Pinus[[#This Row],[d_cm]]^2))/40000</f>
        <v>2.43008553480294E-2</v>
      </c>
      <c r="F502" s="56">
        <f>Pinus[[#This Row],[gi_m²]]*Pinus[[#This Row],[h_m]]*0.45</f>
        <v>0.16162498891974353</v>
      </c>
    </row>
    <row r="503" spans="1:6" x14ac:dyDescent="0.3">
      <c r="A503" s="37">
        <v>6</v>
      </c>
      <c r="B503" s="37">
        <v>2</v>
      </c>
      <c r="C503" s="55">
        <v>16.03</v>
      </c>
      <c r="D503" s="55">
        <v>14.36</v>
      </c>
      <c r="E503" s="56">
        <f>(PI()*(Pinus[[#This Row],[d_cm]]^2))/40000</f>
        <v>2.0181661892495539E-2</v>
      </c>
      <c r="F503" s="56">
        <f>Pinus[[#This Row],[gi_m²]]*Pinus[[#This Row],[h_m]]*0.45</f>
        <v>0.13041389914930618</v>
      </c>
    </row>
    <row r="504" spans="1:6" x14ac:dyDescent="0.3">
      <c r="A504" s="37">
        <v>6</v>
      </c>
      <c r="B504" s="37">
        <v>3</v>
      </c>
      <c r="C504" s="55">
        <v>24.11</v>
      </c>
      <c r="D504" s="55">
        <v>16.190000000000001</v>
      </c>
      <c r="E504" s="56">
        <f>(PI()*(Pinus[[#This Row],[d_cm]]^2))/40000</f>
        <v>4.5654574773744586E-2</v>
      </c>
      <c r="F504" s="56">
        <f>Pinus[[#This Row],[gi_m²]]*Pinus[[#This Row],[h_m]]*0.45</f>
        <v>0.33261640451411617</v>
      </c>
    </row>
    <row r="505" spans="1:6" x14ac:dyDescent="0.3">
      <c r="A505" s="37">
        <v>6</v>
      </c>
      <c r="B505" s="37">
        <v>4</v>
      </c>
      <c r="C505" s="55">
        <v>23</v>
      </c>
      <c r="D505" s="55">
        <v>15.98</v>
      </c>
      <c r="E505" s="56">
        <f>(PI()*(Pinus[[#This Row],[d_cm]]^2))/40000</f>
        <v>4.154756284372501E-2</v>
      </c>
      <c r="F505" s="56">
        <f>Pinus[[#This Row],[gi_m²]]*Pinus[[#This Row],[h_m]]*0.45</f>
        <v>0.29876852440922658</v>
      </c>
    </row>
    <row r="506" spans="1:6" x14ac:dyDescent="0.3">
      <c r="A506" s="37">
        <v>6</v>
      </c>
      <c r="B506" s="37">
        <v>5</v>
      </c>
      <c r="C506" s="55">
        <v>13.96</v>
      </c>
      <c r="D506" s="55">
        <v>13.74</v>
      </c>
      <c r="E506" s="56">
        <f>(PI()*(Pinus[[#This Row],[d_cm]]^2))/40000</f>
        <v>1.5305965071995617E-2</v>
      </c>
      <c r="F506" s="56">
        <f>Pinus[[#This Row],[gi_m²]]*Pinus[[#This Row],[h_m]]*0.45</f>
        <v>9.4636782040148901E-2</v>
      </c>
    </row>
    <row r="507" spans="1:6" x14ac:dyDescent="0.3">
      <c r="A507" s="37">
        <v>6</v>
      </c>
      <c r="B507" s="37">
        <v>6</v>
      </c>
      <c r="C507" s="55">
        <v>19.62</v>
      </c>
      <c r="D507" s="55">
        <v>15.27</v>
      </c>
      <c r="E507" s="56">
        <f>(PI()*(Pinus[[#This Row],[d_cm]]^2))/40000</f>
        <v>3.0233462477013272E-2</v>
      </c>
      <c r="F507" s="56">
        <f>Pinus[[#This Row],[gi_m²]]*Pinus[[#This Row],[h_m]]*0.45</f>
        <v>0.20774923741079671</v>
      </c>
    </row>
    <row r="508" spans="1:6" x14ac:dyDescent="0.3">
      <c r="A508" s="37">
        <v>6</v>
      </c>
      <c r="B508" s="37">
        <v>7</v>
      </c>
      <c r="C508" s="55">
        <v>16.420000000000002</v>
      </c>
      <c r="D508" s="55">
        <v>14.47</v>
      </c>
      <c r="E508" s="56">
        <f>(PI()*(Pinus[[#This Row],[d_cm]]^2))/40000</f>
        <v>2.1175622538183184E-2</v>
      </c>
      <c r="F508" s="56">
        <f>Pinus[[#This Row],[gi_m²]]*Pinus[[#This Row],[h_m]]*0.45</f>
        <v>0.1378850661573798</v>
      </c>
    </row>
    <row r="509" spans="1:6" x14ac:dyDescent="0.3">
      <c r="A509" s="37">
        <v>6</v>
      </c>
      <c r="B509" s="37">
        <v>8</v>
      </c>
      <c r="C509" s="55">
        <v>11.72</v>
      </c>
      <c r="D509" s="55">
        <v>12.96</v>
      </c>
      <c r="E509" s="56">
        <f>(PI()*(Pinus[[#This Row],[d_cm]]^2))/40000</f>
        <v>1.0788103508721208E-2</v>
      </c>
      <c r="F509" s="56">
        <f>Pinus[[#This Row],[gi_m²]]*Pinus[[#This Row],[h_m]]*0.45</f>
        <v>6.2916219662862094E-2</v>
      </c>
    </row>
    <row r="510" spans="1:6" x14ac:dyDescent="0.3">
      <c r="A510" s="37">
        <v>6</v>
      </c>
      <c r="B510" s="37">
        <v>9</v>
      </c>
      <c r="C510" s="55">
        <v>20.6</v>
      </c>
      <c r="D510" s="55">
        <v>15.49</v>
      </c>
      <c r="E510" s="56">
        <f>(PI()*(Pinus[[#This Row],[d_cm]]^2))/40000</f>
        <v>3.3329156461934122E-2</v>
      </c>
      <c r="F510" s="56">
        <f>Pinus[[#This Row],[gi_m²]]*Pinus[[#This Row],[h_m]]*0.45</f>
        <v>0.23232088511791182</v>
      </c>
    </row>
    <row r="511" spans="1:6" x14ac:dyDescent="0.3">
      <c r="A511" s="37">
        <v>6</v>
      </c>
      <c r="B511" s="37">
        <v>10</v>
      </c>
      <c r="C511" s="55">
        <v>19.68</v>
      </c>
      <c r="D511" s="55">
        <v>15.28</v>
      </c>
      <c r="E511" s="56">
        <f>(PI()*(Pinus[[#This Row],[d_cm]]^2))/40000</f>
        <v>3.0418659363942384E-2</v>
      </c>
      <c r="F511" s="56">
        <f>Pinus[[#This Row],[gi_m²]]*Pinus[[#This Row],[h_m]]*0.45</f>
        <v>0.20915870178646784</v>
      </c>
    </row>
    <row r="512" spans="1:6" x14ac:dyDescent="0.3">
      <c r="A512" s="37">
        <v>6</v>
      </c>
      <c r="B512" s="37">
        <v>11</v>
      </c>
      <c r="C512" s="55">
        <v>19.61</v>
      </c>
      <c r="D512" s="55">
        <v>15.27</v>
      </c>
      <c r="E512" s="56">
        <f>(PI()*(Pinus[[#This Row],[d_cm]]^2))/40000</f>
        <v>3.0202651307063188E-2</v>
      </c>
      <c r="F512" s="56">
        <f>Pinus[[#This Row],[gi_m²]]*Pinus[[#This Row],[h_m]]*0.45</f>
        <v>0.20753751845648472</v>
      </c>
    </row>
    <row r="513" spans="1:6" x14ac:dyDescent="0.3">
      <c r="A513" s="37">
        <v>6</v>
      </c>
      <c r="B513" s="37">
        <v>12</v>
      </c>
      <c r="C513" s="55">
        <v>20.86</v>
      </c>
      <c r="D513" s="55">
        <v>15.54</v>
      </c>
      <c r="E513" s="56">
        <f>(PI()*(Pinus[[#This Row],[d_cm]]^2))/40000</f>
        <v>3.4175784266150026E-2</v>
      </c>
      <c r="F513" s="56">
        <f>Pinus[[#This Row],[gi_m²]]*Pinus[[#This Row],[h_m]]*0.45</f>
        <v>0.2389912593731871</v>
      </c>
    </row>
    <row r="514" spans="1:6" x14ac:dyDescent="0.3">
      <c r="A514" s="37">
        <v>6</v>
      </c>
      <c r="B514" s="37">
        <v>13</v>
      </c>
      <c r="C514" s="55">
        <v>23.53</v>
      </c>
      <c r="D514" s="55">
        <v>16.079999999999998</v>
      </c>
      <c r="E514" s="56">
        <f>(PI()*(Pinus[[#This Row],[d_cm]]^2))/40000</f>
        <v>4.348442540049783E-2</v>
      </c>
      <c r="F514" s="56">
        <f>Pinus[[#This Row],[gi_m²]]*Pinus[[#This Row],[h_m]]*0.45</f>
        <v>0.3146533021980023</v>
      </c>
    </row>
    <row r="515" spans="1:6" x14ac:dyDescent="0.3">
      <c r="A515" s="37">
        <v>6</v>
      </c>
      <c r="B515" s="37">
        <v>14</v>
      </c>
      <c r="C515" s="55">
        <v>20.82</v>
      </c>
      <c r="D515" s="55">
        <v>15.53</v>
      </c>
      <c r="E515" s="56">
        <f>(PI()*(Pinus[[#This Row],[d_cm]]^2))/40000</f>
        <v>3.404484268434841E-2</v>
      </c>
      <c r="F515" s="56">
        <f>Pinus[[#This Row],[gi_m²]]*Pinus[[#This Row],[h_m]]*0.45</f>
        <v>0.23792238309956884</v>
      </c>
    </row>
    <row r="516" spans="1:6" x14ac:dyDescent="0.3">
      <c r="A516" s="37">
        <v>6</v>
      </c>
      <c r="B516" s="37">
        <v>15</v>
      </c>
      <c r="C516" s="55">
        <v>17.53</v>
      </c>
      <c r="D516" s="55">
        <v>14.76</v>
      </c>
      <c r="E516" s="56">
        <f>(PI()*(Pinus[[#This Row],[d_cm]]^2))/40000</f>
        <v>2.4135356247038293E-2</v>
      </c>
      <c r="F516" s="56">
        <f>Pinus[[#This Row],[gi_m²]]*Pinus[[#This Row],[h_m]]*0.45</f>
        <v>0.16030703619282832</v>
      </c>
    </row>
    <row r="517" spans="1:6" x14ac:dyDescent="0.3">
      <c r="A517" s="37">
        <v>6</v>
      </c>
      <c r="B517" s="37">
        <v>16</v>
      </c>
      <c r="C517" s="55">
        <v>17.059999999999999</v>
      </c>
      <c r="D517" s="55">
        <v>14.64</v>
      </c>
      <c r="E517" s="56">
        <f>(PI()*(Pinus[[#This Row],[d_cm]]^2))/40000</f>
        <v>2.2858510890858157E-2</v>
      </c>
      <c r="F517" s="56">
        <f>Pinus[[#This Row],[gi_m²]]*Pinus[[#This Row],[h_m]]*0.45</f>
        <v>0.15059186974897354</v>
      </c>
    </row>
    <row r="518" spans="1:6" x14ac:dyDescent="0.3">
      <c r="A518" s="37">
        <v>6</v>
      </c>
      <c r="B518" s="37">
        <v>17</v>
      </c>
      <c r="C518" s="55">
        <v>19.47</v>
      </c>
      <c r="D518" s="55">
        <v>15.23</v>
      </c>
      <c r="E518" s="56">
        <f>(PI()*(Pinus[[#This Row],[d_cm]]^2))/40000</f>
        <v>2.9772944263905168E-2</v>
      </c>
      <c r="F518" s="56">
        <f>Pinus[[#This Row],[gi_m²]]*Pinus[[#This Row],[h_m]]*0.45</f>
        <v>0.20404887351267409</v>
      </c>
    </row>
    <row r="519" spans="1:6" x14ac:dyDescent="0.3">
      <c r="A519" s="37">
        <v>6</v>
      </c>
      <c r="B519" s="37">
        <v>18</v>
      </c>
      <c r="C519" s="55">
        <v>21.24</v>
      </c>
      <c r="D519" s="55">
        <v>15.62</v>
      </c>
      <c r="E519" s="56">
        <f>(PI()*(Pinus[[#This Row],[d_cm]]^2))/40000</f>
        <v>3.543226424795326E-2</v>
      </c>
      <c r="F519" s="56">
        <f>Pinus[[#This Row],[gi_m²]]*Pinus[[#This Row],[h_m]]*0.45</f>
        <v>0.24905338539886349</v>
      </c>
    </row>
    <row r="520" spans="1:6" x14ac:dyDescent="0.3">
      <c r="A520" s="37">
        <v>6</v>
      </c>
      <c r="B520" s="37">
        <v>19</v>
      </c>
      <c r="C520" s="55">
        <v>15.84</v>
      </c>
      <c r="D520" s="55">
        <v>14.31</v>
      </c>
      <c r="E520" s="56">
        <f>(PI()*(Pinus[[#This Row],[d_cm]]^2))/40000</f>
        <v>1.9706079742613479E-2</v>
      </c>
      <c r="F520" s="56">
        <f>Pinus[[#This Row],[gi_m²]]*Pinus[[#This Row],[h_m]]*0.45</f>
        <v>0.12689730050255951</v>
      </c>
    </row>
    <row r="521" spans="1:6" x14ac:dyDescent="0.3">
      <c r="A521" s="37">
        <v>6</v>
      </c>
      <c r="B521" s="37">
        <v>20</v>
      </c>
      <c r="C521" s="55">
        <v>19.260000000000002</v>
      </c>
      <c r="D521" s="55">
        <v>15.19</v>
      </c>
      <c r="E521" s="56">
        <f>(PI()*(Pinus[[#This Row],[d_cm]]^2))/40000</f>
        <v>2.9134156375669136E-2</v>
      </c>
      <c r="F521" s="56">
        <f>Pinus[[#This Row],[gi_m²]]*Pinus[[#This Row],[h_m]]*0.45</f>
        <v>0.19914652590588638</v>
      </c>
    </row>
    <row r="522" spans="1:6" x14ac:dyDescent="0.3">
      <c r="A522" s="37">
        <v>6</v>
      </c>
      <c r="B522" s="37">
        <v>21</v>
      </c>
      <c r="C522" s="55">
        <v>23.87</v>
      </c>
      <c r="D522" s="55">
        <v>16.149999999999999</v>
      </c>
      <c r="E522" s="56">
        <f>(PI()*(Pinus[[#This Row],[d_cm]]^2))/40000</f>
        <v>4.475017308062916E-2</v>
      </c>
      <c r="F522" s="56">
        <f>Pinus[[#This Row],[gi_m²]]*Pinus[[#This Row],[h_m]]*0.45</f>
        <v>0.32522188286347237</v>
      </c>
    </row>
    <row r="523" spans="1:6" x14ac:dyDescent="0.3">
      <c r="A523" s="37">
        <v>6</v>
      </c>
      <c r="B523" s="37">
        <v>22</v>
      </c>
      <c r="C523" s="55">
        <v>19.57</v>
      </c>
      <c r="D523" s="55">
        <v>15.26</v>
      </c>
      <c r="E523" s="56">
        <f>(PI()*(Pinus[[#This Row],[d_cm]]^2))/40000</f>
        <v>3.0079563706895546E-2</v>
      </c>
      <c r="F523" s="56">
        <f>Pinus[[#This Row],[gi_m²]]*Pinus[[#This Row],[h_m]]*0.45</f>
        <v>0.20655636397525171</v>
      </c>
    </row>
    <row r="524" spans="1:6" x14ac:dyDescent="0.3">
      <c r="A524" s="37">
        <v>6</v>
      </c>
      <c r="B524" s="37">
        <v>23</v>
      </c>
      <c r="C524" s="55">
        <v>17.21</v>
      </c>
      <c r="D524" s="55">
        <v>14.68</v>
      </c>
      <c r="E524" s="56">
        <f>(PI()*(Pinus[[#This Row],[d_cm]]^2))/40000</f>
        <v>2.3262244816752622E-2</v>
      </c>
      <c r="F524" s="56">
        <f>Pinus[[#This Row],[gi_m²]]*Pinus[[#This Row],[h_m]]*0.45</f>
        <v>0.15367038925946783</v>
      </c>
    </row>
    <row r="525" spans="1:6" x14ac:dyDescent="0.3">
      <c r="A525" s="37">
        <v>6</v>
      </c>
      <c r="B525" s="37">
        <v>24</v>
      </c>
      <c r="C525" s="55">
        <v>18.899999999999999</v>
      </c>
      <c r="D525" s="55">
        <v>15.1</v>
      </c>
      <c r="E525" s="56">
        <f>(PI()*(Pinus[[#This Row],[d_cm]]^2))/40000</f>
        <v>2.8055207794720247E-2</v>
      </c>
      <c r="F525" s="56">
        <f>Pinus[[#This Row],[gi_m²]]*Pinus[[#This Row],[h_m]]*0.45</f>
        <v>0.19063513696512407</v>
      </c>
    </row>
    <row r="526" spans="1:6" x14ac:dyDescent="0.3">
      <c r="A526" s="37">
        <v>6</v>
      </c>
      <c r="B526" s="37">
        <v>25</v>
      </c>
      <c r="C526" s="55">
        <v>24.46</v>
      </c>
      <c r="D526" s="55">
        <v>16.25</v>
      </c>
      <c r="E526" s="56">
        <f>(PI()*(Pinus[[#This Row],[d_cm]]^2))/40000</f>
        <v>4.6989712381612078E-2</v>
      </c>
      <c r="F526" s="56">
        <f>Pinus[[#This Row],[gi_m²]]*Pinus[[#This Row],[h_m]]*0.45</f>
        <v>0.34361227179053833</v>
      </c>
    </row>
    <row r="527" spans="1:6" x14ac:dyDescent="0.3">
      <c r="A527" s="37">
        <v>6</v>
      </c>
      <c r="B527" s="37">
        <v>26</v>
      </c>
      <c r="C527" s="55">
        <v>22.2</v>
      </c>
      <c r="D527" s="55">
        <v>15.82</v>
      </c>
      <c r="E527" s="56">
        <f>(PI()*(Pinus[[#This Row],[d_cm]]^2))/40000</f>
        <v>3.870756308487984E-2</v>
      </c>
      <c r="F527" s="56">
        <f>Pinus[[#This Row],[gi_m²]]*Pinus[[#This Row],[h_m]]*0.45</f>
        <v>0.27555914160125961</v>
      </c>
    </row>
    <row r="528" spans="1:6" x14ac:dyDescent="0.3">
      <c r="A528" s="37">
        <v>6</v>
      </c>
      <c r="B528" s="37">
        <v>27</v>
      </c>
      <c r="C528" s="55">
        <v>24.95</v>
      </c>
      <c r="D528" s="55">
        <v>16.34</v>
      </c>
      <c r="E528" s="56">
        <f>(PI()*(Pinus[[#This Row],[d_cm]]^2))/40000</f>
        <v>4.8891232021032002E-2</v>
      </c>
      <c r="F528" s="56">
        <f>Pinus[[#This Row],[gi_m²]]*Pinus[[#This Row],[h_m]]*0.45</f>
        <v>0.35949722905064835</v>
      </c>
    </row>
    <row r="529" spans="1:6" x14ac:dyDescent="0.3">
      <c r="A529" s="37">
        <v>6</v>
      </c>
      <c r="B529" s="37">
        <v>28</v>
      </c>
      <c r="C529" s="55">
        <v>20.56</v>
      </c>
      <c r="D529" s="55">
        <v>15.48</v>
      </c>
      <c r="E529" s="56">
        <f>(PI()*(Pinus[[#This Row],[d_cm]]^2))/40000</f>
        <v>3.3199848508312355E-2</v>
      </c>
      <c r="F529" s="56">
        <f>Pinus[[#This Row],[gi_m²]]*Pinus[[#This Row],[h_m]]*0.45</f>
        <v>0.23127014470890386</v>
      </c>
    </row>
    <row r="530" spans="1:6" x14ac:dyDescent="0.3">
      <c r="A530" s="37">
        <v>6</v>
      </c>
      <c r="B530" s="37">
        <v>29</v>
      </c>
      <c r="C530" s="55">
        <v>21.64</v>
      </c>
      <c r="D530" s="55">
        <v>15.71</v>
      </c>
      <c r="E530" s="56">
        <f>(PI()*(Pinus[[#This Row],[d_cm]]^2))/40000</f>
        <v>3.6779379177812571E-2</v>
      </c>
      <c r="F530" s="56">
        <f>Pinus[[#This Row],[gi_m²]]*Pinus[[#This Row],[h_m]]*0.45</f>
        <v>0.260011821097546</v>
      </c>
    </row>
    <row r="531" spans="1:6" x14ac:dyDescent="0.3">
      <c r="A531" s="37">
        <v>6</v>
      </c>
      <c r="B531" s="37">
        <v>30</v>
      </c>
      <c r="C531" s="55">
        <v>17.77</v>
      </c>
      <c r="D531" s="55">
        <v>14.82</v>
      </c>
      <c r="E531" s="56">
        <f>(PI()*(Pinus[[#This Row],[d_cm]]^2))/40000</f>
        <v>2.4800745571068608E-2</v>
      </c>
      <c r="F531" s="56">
        <f>Pinus[[#This Row],[gi_m²]]*Pinus[[#This Row],[h_m]]*0.45</f>
        <v>0.16539617221345657</v>
      </c>
    </row>
    <row r="532" spans="1:6" x14ac:dyDescent="0.3">
      <c r="A532" s="37">
        <v>6</v>
      </c>
      <c r="B532" s="37">
        <v>31</v>
      </c>
      <c r="C532" s="55">
        <v>22.42</v>
      </c>
      <c r="D532" s="55">
        <v>15.86</v>
      </c>
      <c r="E532" s="56">
        <f>(PI()*(Pinus[[#This Row],[d_cm]]^2))/40000</f>
        <v>3.9478541337997317E-2</v>
      </c>
      <c r="F532" s="56">
        <f>Pinus[[#This Row],[gi_m²]]*Pinus[[#This Row],[h_m]]*0.45</f>
        <v>0.28175834952928686</v>
      </c>
    </row>
    <row r="533" spans="1:6" x14ac:dyDescent="0.3">
      <c r="A533" s="37">
        <v>6</v>
      </c>
      <c r="B533" s="37">
        <v>32</v>
      </c>
      <c r="C533" s="55">
        <v>17.97</v>
      </c>
      <c r="D533" s="55">
        <v>14.88</v>
      </c>
      <c r="E533" s="56">
        <f>(PI()*(Pinus[[#This Row],[d_cm]]^2))/40000</f>
        <v>2.5362148178265102E-2</v>
      </c>
      <c r="F533" s="56">
        <f>Pinus[[#This Row],[gi_m²]]*Pinus[[#This Row],[h_m]]*0.45</f>
        <v>0.16982494420166314</v>
      </c>
    </row>
    <row r="534" spans="1:6" x14ac:dyDescent="0.3">
      <c r="A534" s="37">
        <v>6</v>
      </c>
      <c r="B534" s="37">
        <v>33</v>
      </c>
      <c r="C534" s="55">
        <v>14.32</v>
      </c>
      <c r="D534" s="55">
        <v>13.86</v>
      </c>
      <c r="E534" s="56">
        <f>(PI()*(Pinus[[#This Row],[d_cm]]^2))/40000</f>
        <v>1.6105563234187291E-2</v>
      </c>
      <c r="F534" s="56">
        <f>Pinus[[#This Row],[gi_m²]]*Pinus[[#This Row],[h_m]]*0.45</f>
        <v>0.10045039789162613</v>
      </c>
    </row>
    <row r="535" spans="1:6" x14ac:dyDescent="0.3">
      <c r="A535" s="37">
        <v>6</v>
      </c>
      <c r="B535" s="37">
        <v>34</v>
      </c>
      <c r="C535" s="55">
        <v>20.51</v>
      </c>
      <c r="D535" s="55">
        <v>15.47</v>
      </c>
      <c r="E535" s="56">
        <f>(PI()*(Pinus[[#This Row],[d_cm]]^2))/40000</f>
        <v>3.30385669954587E-2</v>
      </c>
      <c r="F535" s="56">
        <f>Pinus[[#This Row],[gi_m²]]*Pinus[[#This Row],[h_m]]*0.45</f>
        <v>0.22999798413888575</v>
      </c>
    </row>
    <row r="536" spans="1:6" x14ac:dyDescent="0.3">
      <c r="A536" s="37">
        <v>6</v>
      </c>
      <c r="B536" s="37">
        <v>35</v>
      </c>
      <c r="C536" s="55">
        <v>27.78</v>
      </c>
      <c r="D536" s="55">
        <v>16.82</v>
      </c>
      <c r="E536" s="56">
        <f>(PI()*(Pinus[[#This Row],[d_cm]]^2))/40000</f>
        <v>6.0611406800165142E-2</v>
      </c>
      <c r="F536" s="56">
        <f>Pinus[[#This Row],[gi_m²]]*Pinus[[#This Row],[h_m]]*0.45</f>
        <v>0.45876773807044996</v>
      </c>
    </row>
    <row r="537" spans="1:6" x14ac:dyDescent="0.3">
      <c r="A537" s="37">
        <v>6</v>
      </c>
      <c r="B537" s="37">
        <v>36</v>
      </c>
      <c r="C537" s="55">
        <v>23.2</v>
      </c>
      <c r="D537" s="55">
        <v>16.02</v>
      </c>
      <c r="E537" s="56">
        <f>(PI()*(Pinus[[#This Row],[d_cm]]^2))/40000</f>
        <v>4.2273270746704256E-2</v>
      </c>
      <c r="F537" s="56">
        <f>Pinus[[#This Row],[gi_m²]]*Pinus[[#This Row],[h_m]]*0.45</f>
        <v>0.30474800881299097</v>
      </c>
    </row>
    <row r="538" spans="1:6" x14ac:dyDescent="0.3">
      <c r="A538" s="37">
        <v>6</v>
      </c>
      <c r="B538" s="37">
        <v>37</v>
      </c>
      <c r="C538" s="55">
        <v>24.66</v>
      </c>
      <c r="D538" s="55">
        <v>16.29</v>
      </c>
      <c r="E538" s="56">
        <f>(PI()*(Pinus[[#This Row],[d_cm]]^2))/40000</f>
        <v>4.7761287537333726E-2</v>
      </c>
      <c r="F538" s="56">
        <f>Pinus[[#This Row],[gi_m²]]*Pinus[[#This Row],[h_m]]*0.45</f>
        <v>0.35011411829242489</v>
      </c>
    </row>
    <row r="539" spans="1:6" x14ac:dyDescent="0.3">
      <c r="A539" s="37">
        <v>6</v>
      </c>
      <c r="B539" s="37">
        <v>38</v>
      </c>
      <c r="C539" s="55">
        <v>21.44</v>
      </c>
      <c r="D539" s="55">
        <v>15.66</v>
      </c>
      <c r="E539" s="56">
        <f>(PI()*(Pinus[[#This Row],[d_cm]]^2))/40000</f>
        <v>3.6102680120229338E-2</v>
      </c>
      <c r="F539" s="56">
        <f>Pinus[[#This Row],[gi_m²]]*Pinus[[#This Row],[h_m]]*0.45</f>
        <v>0.25441558680725618</v>
      </c>
    </row>
    <row r="540" spans="1:6" x14ac:dyDescent="0.3">
      <c r="A540" s="37">
        <v>6</v>
      </c>
      <c r="B540" s="37">
        <v>39</v>
      </c>
      <c r="C540" s="55">
        <v>17.57</v>
      </c>
      <c r="D540" s="55">
        <v>14.77</v>
      </c>
      <c r="E540" s="56">
        <f>(PI()*(Pinus[[#This Row],[d_cm]]^2))/40000</f>
        <v>2.4245626149179293E-2</v>
      </c>
      <c r="F540" s="56">
        <f>Pinus[[#This Row],[gi_m²]]*Pinus[[#This Row],[h_m]]*0.45</f>
        <v>0.16114855420052016</v>
      </c>
    </row>
    <row r="541" spans="1:6" x14ac:dyDescent="0.3">
      <c r="A541" s="37">
        <v>6</v>
      </c>
      <c r="B541" s="37">
        <v>40</v>
      </c>
      <c r="C541" s="55">
        <v>19.190000000000001</v>
      </c>
      <c r="D541" s="55">
        <v>15.17</v>
      </c>
      <c r="E541" s="56">
        <f>(PI()*(Pinus[[#This Row],[d_cm]]^2))/40000</f>
        <v>2.8922766459990708E-2</v>
      </c>
      <c r="F541" s="56">
        <f>Pinus[[#This Row],[gi_m²]]*Pinus[[#This Row],[h_m]]*0.45</f>
        <v>0.19744126523912658</v>
      </c>
    </row>
    <row r="542" spans="1:6" x14ac:dyDescent="0.3">
      <c r="A542" s="37">
        <v>6</v>
      </c>
      <c r="B542" s="37">
        <v>41</v>
      </c>
      <c r="C542" s="55">
        <v>18.91</v>
      </c>
      <c r="D542" s="55">
        <v>15.1</v>
      </c>
      <c r="E542" s="56">
        <f>(PI()*(Pinus[[#This Row],[d_cm]]^2))/40000</f>
        <v>2.8084903699278307E-2</v>
      </c>
      <c r="F542" s="56">
        <f>Pinus[[#This Row],[gi_m²]]*Pinus[[#This Row],[h_m]]*0.45</f>
        <v>0.1908369206365961</v>
      </c>
    </row>
    <row r="543" spans="1:6" x14ac:dyDescent="0.3">
      <c r="A543" s="37">
        <v>6</v>
      </c>
      <c r="B543" s="37">
        <v>42</v>
      </c>
      <c r="C543" s="55">
        <v>18.13</v>
      </c>
      <c r="D543" s="55">
        <v>14.91</v>
      </c>
      <c r="E543" s="56">
        <f>(PI()*(Pinus[[#This Row],[d_cm]]^2))/40000</f>
        <v>2.5815794157443468E-2</v>
      </c>
      <c r="F543" s="56">
        <f>Pinus[[#This Row],[gi_m²]]*Pinus[[#This Row],[h_m]]*0.45</f>
        <v>0.17321107089936696</v>
      </c>
    </row>
    <row r="544" spans="1:6" x14ac:dyDescent="0.3">
      <c r="A544" s="37">
        <v>6</v>
      </c>
      <c r="B544" s="37">
        <v>43</v>
      </c>
      <c r="C544" s="55">
        <v>22.82</v>
      </c>
      <c r="D544" s="55">
        <v>15.94</v>
      </c>
      <c r="E544" s="56">
        <f>(PI()*(Pinus[[#This Row],[d_cm]]^2))/40000</f>
        <v>4.0899797854481328E-2</v>
      </c>
      <c r="F544" s="56">
        <f>Pinus[[#This Row],[gi_m²]]*Pinus[[#This Row],[h_m]]*0.45</f>
        <v>0.29337425001019457</v>
      </c>
    </row>
    <row r="545" spans="1:6" x14ac:dyDescent="0.3">
      <c r="A545" s="37">
        <v>6</v>
      </c>
      <c r="B545" s="37">
        <v>44</v>
      </c>
      <c r="C545" s="55">
        <v>15.21</v>
      </c>
      <c r="D545" s="55">
        <v>14.13</v>
      </c>
      <c r="E545" s="56">
        <f>(PI()*(Pinus[[#This Row],[d_cm]]^2))/40000</f>
        <v>1.8169723125283564E-2</v>
      </c>
      <c r="F545" s="56">
        <f>Pinus[[#This Row],[gi_m²]]*Pinus[[#This Row],[h_m]]*0.45</f>
        <v>0.11553218449211554</v>
      </c>
    </row>
    <row r="546" spans="1:6" x14ac:dyDescent="0.3">
      <c r="A546" s="37">
        <v>6</v>
      </c>
      <c r="B546" s="37">
        <v>45</v>
      </c>
      <c r="C546" s="55">
        <v>23.47</v>
      </c>
      <c r="D546" s="55">
        <v>16.07</v>
      </c>
      <c r="E546" s="56">
        <f>(PI()*(Pinus[[#This Row],[d_cm]]^2))/40000</f>
        <v>4.3262943118419744E-2</v>
      </c>
      <c r="F546" s="56">
        <f>Pinus[[#This Row],[gi_m²]]*Pinus[[#This Row],[h_m]]*0.45</f>
        <v>0.3128559731608524</v>
      </c>
    </row>
    <row r="547" spans="1:6" x14ac:dyDescent="0.3">
      <c r="A547" s="37">
        <v>6</v>
      </c>
      <c r="B547" s="37">
        <v>46</v>
      </c>
      <c r="C547" s="55">
        <v>23.46</v>
      </c>
      <c r="D547" s="55">
        <v>16.07</v>
      </c>
      <c r="E547" s="56">
        <f>(PI()*(Pinus[[#This Row],[d_cm]]^2))/40000</f>
        <v>4.322608438261151E-2</v>
      </c>
      <c r="F547" s="56">
        <f>Pinus[[#This Row],[gi_m²]]*Pinus[[#This Row],[h_m]]*0.45</f>
        <v>0.31258942921285515</v>
      </c>
    </row>
    <row r="548" spans="1:6" x14ac:dyDescent="0.3">
      <c r="A548" s="37">
        <v>6</v>
      </c>
      <c r="B548" s="37">
        <v>47</v>
      </c>
      <c r="C548" s="55">
        <v>15.21</v>
      </c>
      <c r="D548" s="55">
        <v>14.13</v>
      </c>
      <c r="E548" s="56">
        <f>(PI()*(Pinus[[#This Row],[d_cm]]^2))/40000</f>
        <v>1.8169723125283564E-2</v>
      </c>
      <c r="F548" s="56">
        <f>Pinus[[#This Row],[gi_m²]]*Pinus[[#This Row],[h_m]]*0.45</f>
        <v>0.11553218449211554</v>
      </c>
    </row>
    <row r="549" spans="1:6" x14ac:dyDescent="0.3">
      <c r="A549" s="37">
        <v>6</v>
      </c>
      <c r="B549" s="37">
        <v>48</v>
      </c>
      <c r="C549" s="55">
        <v>22.56</v>
      </c>
      <c r="D549" s="55">
        <v>15.89</v>
      </c>
      <c r="E549" s="56">
        <f>(PI()*(Pinus[[#This Row],[d_cm]]^2))/40000</f>
        <v>3.9973122269451947E-2</v>
      </c>
      <c r="F549" s="56">
        <f>Pinus[[#This Row],[gi_m²]]*Pinus[[#This Row],[h_m]]*0.45</f>
        <v>0.28582781078771619</v>
      </c>
    </row>
    <row r="550" spans="1:6" x14ac:dyDescent="0.3">
      <c r="A550" s="37">
        <v>6</v>
      </c>
      <c r="B550" s="37">
        <v>49</v>
      </c>
      <c r="C550" s="55">
        <v>29.72</v>
      </c>
      <c r="D550" s="55">
        <v>17.13</v>
      </c>
      <c r="E550" s="56">
        <f>(PI()*(Pinus[[#This Row],[d_cm]]^2))/40000</f>
        <v>6.9372523312863671E-2</v>
      </c>
      <c r="F550" s="56">
        <f>Pinus[[#This Row],[gi_m²]]*Pinus[[#This Row],[h_m]]*0.45</f>
        <v>0.53475809595720958</v>
      </c>
    </row>
    <row r="551" spans="1:6" x14ac:dyDescent="0.3">
      <c r="A551" s="37">
        <v>6</v>
      </c>
      <c r="B551" s="37">
        <v>50</v>
      </c>
      <c r="C551" s="55">
        <v>17.77</v>
      </c>
      <c r="D551" s="55">
        <v>14.82</v>
      </c>
      <c r="E551" s="56">
        <f>(PI()*(Pinus[[#This Row],[d_cm]]^2))/40000</f>
        <v>2.4800745571068608E-2</v>
      </c>
      <c r="F551" s="56">
        <f>Pinus[[#This Row],[gi_m²]]*Pinus[[#This Row],[h_m]]*0.45</f>
        <v>0.16539617221345657</v>
      </c>
    </row>
    <row r="552" spans="1:6" x14ac:dyDescent="0.3">
      <c r="A552" s="37">
        <v>6</v>
      </c>
      <c r="B552" s="37">
        <v>51</v>
      </c>
      <c r="C552" s="55">
        <v>23.38</v>
      </c>
      <c r="D552" s="55">
        <v>16.05</v>
      </c>
      <c r="E552" s="56">
        <f>(PI()*(Pinus[[#This Row],[d_cm]]^2))/40000</f>
        <v>4.2931779982823208E-2</v>
      </c>
      <c r="F552" s="56">
        <f>Pinus[[#This Row],[gi_m²]]*Pinus[[#This Row],[h_m]]*0.45</f>
        <v>0.31007478092594065</v>
      </c>
    </row>
    <row r="553" spans="1:6" x14ac:dyDescent="0.3">
      <c r="A553" s="37">
        <v>6</v>
      </c>
      <c r="B553" s="37">
        <v>52</v>
      </c>
      <c r="C553" s="55">
        <v>16.87</v>
      </c>
      <c r="D553" s="55">
        <v>14.59</v>
      </c>
      <c r="E553" s="56">
        <f>(PI()*(Pinus[[#This Row],[d_cm]]^2))/40000</f>
        <v>2.2352188256860733E-2</v>
      </c>
      <c r="F553" s="56">
        <f>Pinus[[#This Row],[gi_m²]]*Pinus[[#This Row],[h_m]]*0.45</f>
        <v>0.14675329200041914</v>
      </c>
    </row>
    <row r="554" spans="1:6" x14ac:dyDescent="0.3">
      <c r="A554" s="37">
        <v>6</v>
      </c>
      <c r="B554" s="37">
        <v>53</v>
      </c>
      <c r="C554" s="55">
        <v>24.44</v>
      </c>
      <c r="D554" s="55">
        <v>16.25</v>
      </c>
      <c r="E554" s="56">
        <f>(PI()*(Pinus[[#This Row],[d_cm]]^2))/40000</f>
        <v>4.6912900441231815E-2</v>
      </c>
      <c r="F554" s="56">
        <f>Pinus[[#This Row],[gi_m²]]*Pinus[[#This Row],[h_m]]*0.45</f>
        <v>0.34305058447650766</v>
      </c>
    </row>
    <row r="555" spans="1:6" x14ac:dyDescent="0.3">
      <c r="A555" s="37">
        <v>6</v>
      </c>
      <c r="B555" s="37">
        <v>54</v>
      </c>
      <c r="C555" s="55">
        <v>21</v>
      </c>
      <c r="D555" s="55">
        <v>15.57</v>
      </c>
      <c r="E555" s="56">
        <f>(PI()*(Pinus[[#This Row],[d_cm]]^2))/40000</f>
        <v>3.4636059005827467E-2</v>
      </c>
      <c r="F555" s="56">
        <f>Pinus[[#This Row],[gi_m²]]*Pinus[[#This Row],[h_m]]*0.45</f>
        <v>0.24267754742433018</v>
      </c>
    </row>
    <row r="556" spans="1:6" x14ac:dyDescent="0.3">
      <c r="A556" s="37">
        <v>6</v>
      </c>
      <c r="B556" s="37">
        <v>55</v>
      </c>
      <c r="C556" s="55">
        <v>26.61</v>
      </c>
      <c r="D556" s="55">
        <v>16.63</v>
      </c>
      <c r="E556" s="56">
        <f>(PI()*(Pinus[[#This Row],[d_cm]]^2))/40000</f>
        <v>5.561342348562423E-2</v>
      </c>
      <c r="F556" s="56">
        <f>Pinus[[#This Row],[gi_m²]]*Pinus[[#This Row],[h_m]]*0.45</f>
        <v>0.41618305465466893</v>
      </c>
    </row>
    <row r="557" spans="1:6" x14ac:dyDescent="0.3">
      <c r="A557" s="37">
        <v>6</v>
      </c>
      <c r="B557" s="37">
        <v>56</v>
      </c>
      <c r="C557" s="55">
        <v>14.16</v>
      </c>
      <c r="D557" s="55">
        <v>13.81</v>
      </c>
      <c r="E557" s="56">
        <f>(PI()*(Pinus[[#This Row],[d_cm]]^2))/40000</f>
        <v>1.5747672999090342E-2</v>
      </c>
      <c r="F557" s="56">
        <f>Pinus[[#This Row],[gi_m²]]*Pinus[[#This Row],[h_m]]*0.45</f>
        <v>9.7863913852846943E-2</v>
      </c>
    </row>
    <row r="558" spans="1:6" x14ac:dyDescent="0.3">
      <c r="A558" s="37">
        <v>6</v>
      </c>
      <c r="B558" s="37">
        <v>57</v>
      </c>
      <c r="C558" s="55">
        <v>19.79</v>
      </c>
      <c r="D558" s="55">
        <v>15.31</v>
      </c>
      <c r="E558" s="56">
        <f>(PI()*(Pinus[[#This Row],[d_cm]]^2))/40000</f>
        <v>3.0759655684544657E-2</v>
      </c>
      <c r="F558" s="56">
        <f>Pinus[[#This Row],[gi_m²]]*Pinus[[#This Row],[h_m]]*0.45</f>
        <v>0.21191864783867043</v>
      </c>
    </row>
    <row r="559" spans="1:6" x14ac:dyDescent="0.3">
      <c r="A559" s="37">
        <v>6</v>
      </c>
      <c r="B559" s="37">
        <v>58</v>
      </c>
      <c r="C559" s="55">
        <v>17.89</v>
      </c>
      <c r="D559" s="55">
        <v>14.85</v>
      </c>
      <c r="E559" s="56">
        <f>(PI()*(Pinus[[#This Row],[d_cm]]^2))/40000</f>
        <v>2.5136833153149647E-2</v>
      </c>
      <c r="F559" s="56">
        <f>Pinus[[#This Row],[gi_m²]]*Pinus[[#This Row],[h_m]]*0.45</f>
        <v>0.16797688754592252</v>
      </c>
    </row>
    <row r="560" spans="1:6" x14ac:dyDescent="0.3">
      <c r="A560" s="37">
        <v>6</v>
      </c>
      <c r="B560" s="37">
        <v>59</v>
      </c>
      <c r="C560" s="55">
        <v>19.21</v>
      </c>
      <c r="D560" s="55">
        <v>15.17</v>
      </c>
      <c r="E560" s="56">
        <f>(PI()*(Pinus[[#This Row],[d_cm]]^2))/40000</f>
        <v>2.8983085038939635E-2</v>
      </c>
      <c r="F560" s="56">
        <f>Pinus[[#This Row],[gi_m²]]*Pinus[[#This Row],[h_m]]*0.45</f>
        <v>0.19785303001832141</v>
      </c>
    </row>
    <row r="561" spans="1:6" x14ac:dyDescent="0.3">
      <c r="A561" s="37">
        <v>6</v>
      </c>
      <c r="B561" s="37">
        <v>60</v>
      </c>
      <c r="C561" s="55">
        <v>17.48</v>
      </c>
      <c r="D561" s="55">
        <v>14.75</v>
      </c>
      <c r="E561" s="56">
        <f>(PI()*(Pinus[[#This Row],[d_cm]]^2))/40000</f>
        <v>2.3997872298535568E-2</v>
      </c>
      <c r="F561" s="56">
        <f>Pinus[[#This Row],[gi_m²]]*Pinus[[#This Row],[h_m]]*0.45</f>
        <v>0.15928587738152983</v>
      </c>
    </row>
    <row r="562" spans="1:6" x14ac:dyDescent="0.3">
      <c r="A562" s="37">
        <v>6</v>
      </c>
      <c r="B562" s="37">
        <v>61</v>
      </c>
      <c r="C562" s="55">
        <v>16.66</v>
      </c>
      <c r="D562" s="55">
        <v>14.54</v>
      </c>
      <c r="E562" s="56">
        <f>(PI()*(Pinus[[#This Row],[d_cm]]^2))/40000</f>
        <v>2.1799165848067681E-2</v>
      </c>
      <c r="F562" s="56">
        <f>Pinus[[#This Row],[gi_m²]]*Pinus[[#This Row],[h_m]]*0.45</f>
        <v>0.14263194214390681</v>
      </c>
    </row>
    <row r="563" spans="1:6" x14ac:dyDescent="0.3">
      <c r="A563" s="37">
        <v>6</v>
      </c>
      <c r="B563" s="37">
        <v>62</v>
      </c>
      <c r="C563" s="55">
        <v>22.31</v>
      </c>
      <c r="D563" s="55">
        <v>15.84</v>
      </c>
      <c r="E563" s="56">
        <f>(PI()*(Pinus[[#This Row],[d_cm]]^2))/40000</f>
        <v>3.9092101879660862E-2</v>
      </c>
      <c r="F563" s="56">
        <f>Pinus[[#This Row],[gi_m²]]*Pinus[[#This Row],[h_m]]*0.45</f>
        <v>0.27864850219822268</v>
      </c>
    </row>
    <row r="564" spans="1:6" x14ac:dyDescent="0.3">
      <c r="A564" s="37">
        <v>6</v>
      </c>
      <c r="B564" s="37">
        <v>63</v>
      </c>
      <c r="C564" s="55">
        <v>15.65</v>
      </c>
      <c r="D564" s="55">
        <v>14.26</v>
      </c>
      <c r="E564" s="56">
        <f>(PI()*(Pinus[[#This Row],[d_cm]]^2))/40000</f>
        <v>1.9236168167471156E-2</v>
      </c>
      <c r="F564" s="56">
        <f>Pinus[[#This Row],[gi_m²]]*Pinus[[#This Row],[h_m]]*0.45</f>
        <v>0.12343849113066241</v>
      </c>
    </row>
    <row r="565" spans="1:6" x14ac:dyDescent="0.3">
      <c r="A565" s="37">
        <v>6</v>
      </c>
      <c r="B565" s="37">
        <v>64</v>
      </c>
      <c r="C565" s="55">
        <v>25.94</v>
      </c>
      <c r="D565" s="55">
        <v>16.52</v>
      </c>
      <c r="E565" s="56">
        <f>(PI()*(Pinus[[#This Row],[d_cm]]^2))/40000</f>
        <v>5.2848154362026334E-2</v>
      </c>
      <c r="F565" s="56">
        <f>Pinus[[#This Row],[gi_m²]]*Pinus[[#This Row],[h_m]]*0.45</f>
        <v>0.39287317952730377</v>
      </c>
    </row>
    <row r="566" spans="1:6" x14ac:dyDescent="0.3">
      <c r="A566" s="37">
        <v>6</v>
      </c>
      <c r="B566" s="37">
        <v>65</v>
      </c>
      <c r="C566" s="55">
        <v>15.26</v>
      </c>
      <c r="D566" s="55">
        <v>14.14</v>
      </c>
      <c r="E566" s="56">
        <f>(PI()*(Pinus[[#This Row],[d_cm]]^2))/40000</f>
        <v>1.8289378535477161E-2</v>
      </c>
      <c r="F566" s="56">
        <f>Pinus[[#This Row],[gi_m²]]*Pinus[[#This Row],[h_m]]*0.45</f>
        <v>0.11637531562124118</v>
      </c>
    </row>
    <row r="567" spans="1:6" x14ac:dyDescent="0.3">
      <c r="A567" s="37">
        <v>6</v>
      </c>
      <c r="B567" s="37">
        <v>66</v>
      </c>
      <c r="C567" s="55">
        <v>20.399999999999999</v>
      </c>
      <c r="D567" s="55">
        <v>15.44</v>
      </c>
      <c r="E567" s="56">
        <f>(PI()*(Pinus[[#This Row],[d_cm]]^2))/40000</f>
        <v>3.2685129967948208E-2</v>
      </c>
      <c r="F567" s="56">
        <f>Pinus[[#This Row],[gi_m²]]*Pinus[[#This Row],[h_m]]*0.45</f>
        <v>0.22709628301730414</v>
      </c>
    </row>
    <row r="568" spans="1:6" x14ac:dyDescent="0.3">
      <c r="A568" s="37">
        <v>6</v>
      </c>
      <c r="B568" s="37">
        <v>67</v>
      </c>
      <c r="C568" s="55">
        <v>22.13</v>
      </c>
      <c r="D568" s="55">
        <v>15.81</v>
      </c>
      <c r="E568" s="56">
        <f>(PI()*(Pinus[[#This Row],[d_cm]]^2))/40000</f>
        <v>3.8463846180795971E-2</v>
      </c>
      <c r="F568" s="56">
        <f>Pinus[[#This Row],[gi_m²]]*Pinus[[#This Row],[h_m]]*0.45</f>
        <v>0.27365103365327298</v>
      </c>
    </row>
    <row r="569" spans="1:6" x14ac:dyDescent="0.3">
      <c r="A569" s="37">
        <v>6</v>
      </c>
      <c r="B569" s="37">
        <v>68</v>
      </c>
      <c r="C569" s="55">
        <v>22.35</v>
      </c>
      <c r="D569" s="55">
        <v>15.85</v>
      </c>
      <c r="E569" s="56">
        <f>(PI()*(Pinus[[#This Row],[d_cm]]^2))/40000</f>
        <v>3.9232405407570191E-2</v>
      </c>
      <c r="F569" s="56">
        <f>Pinus[[#This Row],[gi_m²]]*Pinus[[#This Row],[h_m]]*0.45</f>
        <v>0.27982513156949435</v>
      </c>
    </row>
    <row r="570" spans="1:6" x14ac:dyDescent="0.3">
      <c r="A570" s="37">
        <v>6</v>
      </c>
      <c r="B570" s="37">
        <v>69</v>
      </c>
      <c r="C570" s="55">
        <v>18.79</v>
      </c>
      <c r="D570" s="55">
        <v>15.07</v>
      </c>
      <c r="E570" s="56">
        <f>(PI()*(Pinus[[#This Row],[d_cm]]^2))/40000</f>
        <v>2.7729589570157299E-2</v>
      </c>
      <c r="F570" s="56">
        <f>Pinus[[#This Row],[gi_m²]]*Pinus[[#This Row],[h_m]]*0.45</f>
        <v>0.18804821167002175</v>
      </c>
    </row>
    <row r="571" spans="1:6" x14ac:dyDescent="0.3">
      <c r="A571" s="37">
        <v>6</v>
      </c>
      <c r="B571" s="37">
        <v>70</v>
      </c>
      <c r="C571" s="55">
        <v>20.32</v>
      </c>
      <c r="D571" s="55">
        <v>15.42</v>
      </c>
      <c r="E571" s="56">
        <f>(PI()*(Pinus[[#This Row],[d_cm]]^2))/40000</f>
        <v>3.2429278662239852E-2</v>
      </c>
      <c r="F571" s="56">
        <f>Pinus[[#This Row],[gi_m²]]*Pinus[[#This Row],[h_m]]*0.45</f>
        <v>0.22502676463728233</v>
      </c>
    </row>
    <row r="572" spans="1:6" x14ac:dyDescent="0.3">
      <c r="A572" s="37">
        <v>6</v>
      </c>
      <c r="B572" s="37">
        <v>71</v>
      </c>
      <c r="C572" s="55">
        <v>23.85</v>
      </c>
      <c r="D572" s="55">
        <v>16.14</v>
      </c>
      <c r="E572" s="56">
        <f>(PI()*(Pinus[[#This Row],[d_cm]]^2))/40000</f>
        <v>4.4675214679914511E-2</v>
      </c>
      <c r="F572" s="56">
        <f>Pinus[[#This Row],[gi_m²]]*Pinus[[#This Row],[h_m]]*0.45</f>
        <v>0.32447608422021912</v>
      </c>
    </row>
    <row r="573" spans="1:6" x14ac:dyDescent="0.3">
      <c r="A573" s="37">
        <v>6</v>
      </c>
      <c r="B573" s="37">
        <v>72</v>
      </c>
      <c r="C573" s="55">
        <v>14.17</v>
      </c>
      <c r="D573" s="55">
        <v>13.81</v>
      </c>
      <c r="E573" s="56">
        <f>(PI()*(Pinus[[#This Row],[d_cm]]^2))/40000</f>
        <v>1.5769923329059389E-2</v>
      </c>
      <c r="F573" s="56">
        <f>Pinus[[#This Row],[gi_m²]]*Pinus[[#This Row],[h_m]]*0.45</f>
        <v>9.8002188528439588E-2</v>
      </c>
    </row>
    <row r="574" spans="1:6" x14ac:dyDescent="0.3">
      <c r="A574" s="37">
        <v>6</v>
      </c>
      <c r="B574" s="37">
        <v>73</v>
      </c>
      <c r="C574" s="55">
        <v>16.87</v>
      </c>
      <c r="D574" s="55">
        <v>14.59</v>
      </c>
      <c r="E574" s="56">
        <f>(PI()*(Pinus[[#This Row],[d_cm]]^2))/40000</f>
        <v>2.2352188256860733E-2</v>
      </c>
      <c r="F574" s="56">
        <f>Pinus[[#This Row],[gi_m²]]*Pinus[[#This Row],[h_m]]*0.45</f>
        <v>0.14675329200041914</v>
      </c>
    </row>
    <row r="575" spans="1:6" x14ac:dyDescent="0.3">
      <c r="A575" s="37">
        <v>6</v>
      </c>
      <c r="B575" s="37">
        <v>74</v>
      </c>
      <c r="C575" s="55">
        <v>21.28</v>
      </c>
      <c r="D575" s="55">
        <v>15.63</v>
      </c>
      <c r="E575" s="56">
        <f>(PI()*(Pinus[[#This Row],[d_cm]]^2))/40000</f>
        <v>3.5565844767583905E-2</v>
      </c>
      <c r="F575" s="56">
        <f>Pinus[[#This Row],[gi_m²]]*Pinus[[#This Row],[h_m]]*0.45</f>
        <v>0.25015236917280137</v>
      </c>
    </row>
    <row r="576" spans="1:6" x14ac:dyDescent="0.3">
      <c r="A576" s="37">
        <v>6</v>
      </c>
      <c r="B576" s="37">
        <v>75</v>
      </c>
      <c r="C576" s="55">
        <v>18.22</v>
      </c>
      <c r="D576" s="55">
        <v>14.94</v>
      </c>
      <c r="E576" s="56">
        <f>(PI()*(Pinus[[#This Row],[d_cm]]^2))/40000</f>
        <v>2.6072737166598945E-2</v>
      </c>
      <c r="F576" s="56">
        <f>Pinus[[#This Row],[gi_m²]]*Pinus[[#This Row],[h_m]]*0.45</f>
        <v>0.17528701197104468</v>
      </c>
    </row>
    <row r="577" spans="1:6" x14ac:dyDescent="0.3">
      <c r="A577" s="37">
        <v>6</v>
      </c>
      <c r="B577" s="37">
        <v>76</v>
      </c>
      <c r="C577" s="55">
        <v>25.48</v>
      </c>
      <c r="D577" s="55">
        <v>16.440000000000001</v>
      </c>
      <c r="E577" s="56">
        <f>(PI()*(Pinus[[#This Row],[d_cm]]^2))/40000</f>
        <v>5.0990436378179071E-2</v>
      </c>
      <c r="F577" s="56">
        <f>Pinus[[#This Row],[gi_m²]]*Pinus[[#This Row],[h_m]]*0.45</f>
        <v>0.37722724832576882</v>
      </c>
    </row>
    <row r="578" spans="1:6" x14ac:dyDescent="0.3">
      <c r="A578" s="37">
        <v>6</v>
      </c>
      <c r="B578" s="37">
        <v>77</v>
      </c>
      <c r="C578" s="55">
        <v>22.69</v>
      </c>
      <c r="D578" s="55">
        <v>15.92</v>
      </c>
      <c r="E578" s="56">
        <f>(PI()*(Pinus[[#This Row],[d_cm]]^2))/40000</f>
        <v>4.0435132739070505E-2</v>
      </c>
      <c r="F578" s="56">
        <f>Pinus[[#This Row],[gi_m²]]*Pinus[[#This Row],[h_m]]*0.45</f>
        <v>0.28967729094270112</v>
      </c>
    </row>
    <row r="579" spans="1:6" x14ac:dyDescent="0.3">
      <c r="A579" s="37">
        <v>6</v>
      </c>
      <c r="B579" s="37">
        <v>78</v>
      </c>
      <c r="C579" s="55">
        <v>20.29</v>
      </c>
      <c r="D579" s="55">
        <v>15.42</v>
      </c>
      <c r="E579" s="56">
        <f>(PI()*(Pinus[[#This Row],[d_cm]]^2))/40000</f>
        <v>3.2333593603993134E-2</v>
      </c>
      <c r="F579" s="56">
        <f>Pinus[[#This Row],[gi_m²]]*Pinus[[#This Row],[h_m]]*0.45</f>
        <v>0.22436280601810835</v>
      </c>
    </row>
    <row r="580" spans="1:6" x14ac:dyDescent="0.3">
      <c r="A580" s="37">
        <v>6</v>
      </c>
      <c r="B580" s="37">
        <v>79</v>
      </c>
      <c r="C580" s="55">
        <v>13.97</v>
      </c>
      <c r="D580" s="55">
        <v>13.75</v>
      </c>
      <c r="E580" s="56">
        <f>(PI()*(Pinus[[#This Row],[d_cm]]^2))/40000</f>
        <v>1.532790124269931E-2</v>
      </c>
      <c r="F580" s="56">
        <f>Pinus[[#This Row],[gi_m²]]*Pinus[[#This Row],[h_m]]*0.45</f>
        <v>9.4841388939201979E-2</v>
      </c>
    </row>
    <row r="581" spans="1:6" x14ac:dyDescent="0.3">
      <c r="A581" s="37">
        <v>6</v>
      </c>
      <c r="B581" s="37">
        <v>80</v>
      </c>
      <c r="C581" s="55">
        <v>20.100000000000001</v>
      </c>
      <c r="D581" s="55">
        <v>15.38</v>
      </c>
      <c r="E581" s="56">
        <f>(PI()*(Pinus[[#This Row],[d_cm]]^2))/40000</f>
        <v>3.1730871199420314E-2</v>
      </c>
      <c r="F581" s="56">
        <f>Pinus[[#This Row],[gi_m²]]*Pinus[[#This Row],[h_m]]*0.45</f>
        <v>0.21960935957118802</v>
      </c>
    </row>
    <row r="582" spans="1:6" x14ac:dyDescent="0.3">
      <c r="A582" s="37">
        <v>6</v>
      </c>
      <c r="B582" s="37">
        <v>81</v>
      </c>
      <c r="C582" s="55">
        <v>18.73</v>
      </c>
      <c r="D582" s="55">
        <v>15.06</v>
      </c>
      <c r="E582" s="56">
        <f>(PI()*(Pinus[[#This Row],[d_cm]]^2))/40000</f>
        <v>2.7552780735613271E-2</v>
      </c>
      <c r="F582" s="56">
        <f>Pinus[[#This Row],[gi_m²]]*Pinus[[#This Row],[h_m]]*0.45</f>
        <v>0.18672519504525115</v>
      </c>
    </row>
    <row r="583" spans="1:6" x14ac:dyDescent="0.3">
      <c r="A583" s="37">
        <v>6</v>
      </c>
      <c r="B583" s="37">
        <v>82</v>
      </c>
      <c r="C583" s="55">
        <v>19.59</v>
      </c>
      <c r="D583" s="55">
        <v>15.26</v>
      </c>
      <c r="E583" s="56">
        <f>(PI()*(Pinus[[#This Row],[d_cm]]^2))/40000</f>
        <v>3.0141076091052828E-2</v>
      </c>
      <c r="F583" s="56">
        <f>Pinus[[#This Row],[gi_m²]]*Pinus[[#This Row],[h_m]]*0.45</f>
        <v>0.20697876951725977</v>
      </c>
    </row>
    <row r="584" spans="1:6" x14ac:dyDescent="0.3">
      <c r="A584" s="37">
        <v>6</v>
      </c>
      <c r="B584" s="37">
        <v>83</v>
      </c>
      <c r="C584" s="55">
        <v>15.27</v>
      </c>
      <c r="D584" s="55">
        <v>14.15</v>
      </c>
      <c r="E584" s="56">
        <f>(PI()*(Pinus[[#This Row],[d_cm]]^2))/40000</f>
        <v>1.8313356741405686E-2</v>
      </c>
      <c r="F584" s="56">
        <f>Pinus[[#This Row],[gi_m²]]*Pinus[[#This Row],[h_m]]*0.45</f>
        <v>0.11661029905090071</v>
      </c>
    </row>
    <row r="585" spans="1:6" x14ac:dyDescent="0.3">
      <c r="A585" s="37">
        <v>6</v>
      </c>
      <c r="B585" s="37">
        <v>84</v>
      </c>
      <c r="C585" s="55">
        <v>21.99</v>
      </c>
      <c r="D585" s="55">
        <v>15.78</v>
      </c>
      <c r="E585" s="56">
        <f>(PI()*(Pinus[[#This Row],[d_cm]]^2))/40000</f>
        <v>3.7978721443228634E-2</v>
      </c>
      <c r="F585" s="56">
        <f>Pinus[[#This Row],[gi_m²]]*Pinus[[#This Row],[h_m]]*0.45</f>
        <v>0.26968690096836656</v>
      </c>
    </row>
    <row r="586" spans="1:6" x14ac:dyDescent="0.3">
      <c r="A586" s="37">
        <v>6</v>
      </c>
      <c r="B586" s="37">
        <v>85</v>
      </c>
      <c r="C586" s="55">
        <v>15.84</v>
      </c>
      <c r="D586" s="55">
        <v>14.31</v>
      </c>
      <c r="E586" s="56">
        <f>(PI()*(Pinus[[#This Row],[d_cm]]^2))/40000</f>
        <v>1.9706079742613479E-2</v>
      </c>
      <c r="F586" s="56">
        <f>Pinus[[#This Row],[gi_m²]]*Pinus[[#This Row],[h_m]]*0.45</f>
        <v>0.12689730050255951</v>
      </c>
    </row>
    <row r="587" spans="1:6" x14ac:dyDescent="0.3">
      <c r="A587" s="37">
        <v>6</v>
      </c>
      <c r="B587" s="37">
        <v>86</v>
      </c>
      <c r="C587" s="55">
        <v>19.100000000000001</v>
      </c>
      <c r="D587" s="55">
        <v>15.15</v>
      </c>
      <c r="E587" s="56">
        <f>(PI()*(Pinus[[#This Row],[d_cm]]^2))/40000</f>
        <v>2.8652110398902319E-2</v>
      </c>
      <c r="F587" s="56">
        <f>Pinus[[#This Row],[gi_m²]]*Pinus[[#This Row],[h_m]]*0.45</f>
        <v>0.19533576264451658</v>
      </c>
    </row>
    <row r="588" spans="1:6" x14ac:dyDescent="0.3">
      <c r="A588" s="37">
        <v>6</v>
      </c>
      <c r="B588" s="37">
        <v>87</v>
      </c>
      <c r="C588" s="55">
        <v>21.53</v>
      </c>
      <c r="D588" s="55">
        <v>15.68</v>
      </c>
      <c r="E588" s="56">
        <f>(PI()*(Pinus[[#This Row],[d_cm]]^2))/40000</f>
        <v>3.6406417151960024E-2</v>
      </c>
      <c r="F588" s="56">
        <f>Pinus[[#This Row],[gi_m²]]*Pinus[[#This Row],[h_m]]*0.45</f>
        <v>0.2568836794242299</v>
      </c>
    </row>
    <row r="589" spans="1:6" x14ac:dyDescent="0.3">
      <c r="A589" s="37">
        <v>6</v>
      </c>
      <c r="B589" s="37">
        <v>88</v>
      </c>
      <c r="C589" s="55">
        <v>16.87</v>
      </c>
      <c r="D589" s="55">
        <v>14.59</v>
      </c>
      <c r="E589" s="56">
        <f>(PI()*(Pinus[[#This Row],[d_cm]]^2))/40000</f>
        <v>2.2352188256860733E-2</v>
      </c>
      <c r="F589" s="56">
        <f>Pinus[[#This Row],[gi_m²]]*Pinus[[#This Row],[h_m]]*0.45</f>
        <v>0.14675329200041914</v>
      </c>
    </row>
    <row r="590" spans="1:6" x14ac:dyDescent="0.3">
      <c r="A590" s="37">
        <v>6</v>
      </c>
      <c r="B590" s="37">
        <v>89</v>
      </c>
      <c r="C590" s="55">
        <v>22.33</v>
      </c>
      <c r="D590" s="55">
        <v>15.85</v>
      </c>
      <c r="E590" s="56">
        <f>(PI()*(Pinus[[#This Row],[d_cm]]^2))/40000</f>
        <v>3.9162222227688982E-2</v>
      </c>
      <c r="F590" s="56">
        <f>Pinus[[#This Row],[gi_m²]]*Pinus[[#This Row],[h_m]]*0.45</f>
        <v>0.2793245500389917</v>
      </c>
    </row>
    <row r="591" spans="1:6" x14ac:dyDescent="0.3">
      <c r="A591" s="37">
        <v>6</v>
      </c>
      <c r="B591" s="37">
        <v>90</v>
      </c>
      <c r="C591" s="55">
        <v>14.73</v>
      </c>
      <c r="D591" s="55">
        <v>13.99</v>
      </c>
      <c r="E591" s="56">
        <f>(PI()*(Pinus[[#This Row],[d_cm]]^2))/40000</f>
        <v>1.7041011716701821E-2</v>
      </c>
      <c r="F591" s="56">
        <f>Pinus[[#This Row],[gi_m²]]*Pinus[[#This Row],[h_m]]*0.45</f>
        <v>0.10728168926249633</v>
      </c>
    </row>
    <row r="592" spans="1:6" x14ac:dyDescent="0.3">
      <c r="A592" s="37">
        <v>6</v>
      </c>
      <c r="B592" s="37">
        <v>91</v>
      </c>
      <c r="C592" s="55">
        <v>8.76</v>
      </c>
      <c r="D592" s="55">
        <v>11.66</v>
      </c>
      <c r="E592" s="56">
        <f>(PI()*(Pinus[[#This Row],[d_cm]]^2))/40000</f>
        <v>6.0269570103528023E-3</v>
      </c>
      <c r="F592" s="56">
        <f>Pinus[[#This Row],[gi_m²]]*Pinus[[#This Row],[h_m]]*0.45</f>
        <v>3.1623443433321151E-2</v>
      </c>
    </row>
    <row r="593" spans="1:6" x14ac:dyDescent="0.3">
      <c r="A593" s="37">
        <v>6</v>
      </c>
      <c r="B593" s="37">
        <v>92</v>
      </c>
      <c r="C593" s="55">
        <v>21.86</v>
      </c>
      <c r="D593" s="55">
        <v>15.75</v>
      </c>
      <c r="E593" s="56">
        <f>(PI()*(Pinus[[#This Row],[d_cm]]^2))/40000</f>
        <v>3.7531005220183926E-2</v>
      </c>
      <c r="F593" s="56">
        <f>Pinus[[#This Row],[gi_m²]]*Pinus[[#This Row],[h_m]]*0.45</f>
        <v>0.26600099949805361</v>
      </c>
    </row>
    <row r="594" spans="1:6" x14ac:dyDescent="0.3">
      <c r="A594" s="37">
        <v>6</v>
      </c>
      <c r="B594" s="37">
        <v>93</v>
      </c>
      <c r="C594" s="55">
        <v>23.36</v>
      </c>
      <c r="D594" s="55">
        <v>16.05</v>
      </c>
      <c r="E594" s="56">
        <f>(PI()*(Pinus[[#This Row],[d_cm]]^2))/40000</f>
        <v>4.2858360962508814E-2</v>
      </c>
      <c r="F594" s="56">
        <f>Pinus[[#This Row],[gi_m²]]*Pinus[[#This Row],[h_m]]*0.45</f>
        <v>0.30954451205171996</v>
      </c>
    </row>
    <row r="595" spans="1:6" x14ac:dyDescent="0.3">
      <c r="A595" s="37">
        <v>6</v>
      </c>
      <c r="B595" s="37">
        <v>94</v>
      </c>
      <c r="C595" s="55">
        <v>18.86</v>
      </c>
      <c r="D595" s="55">
        <v>15.09</v>
      </c>
      <c r="E595" s="56">
        <f>(PI()*(Pinus[[#This Row],[d_cm]]^2))/40000</f>
        <v>2.7936581256120696E-2</v>
      </c>
      <c r="F595" s="56">
        <f>Pinus[[#This Row],[gi_m²]]*Pinus[[#This Row],[h_m]]*0.45</f>
        <v>0.18970335501968758</v>
      </c>
    </row>
    <row r="596" spans="1:6" x14ac:dyDescent="0.3">
      <c r="A596" s="37">
        <v>6</v>
      </c>
      <c r="B596" s="37">
        <v>95</v>
      </c>
      <c r="C596" s="55">
        <v>22.02</v>
      </c>
      <c r="D596" s="55">
        <v>15.78</v>
      </c>
      <c r="E596" s="56">
        <f>(PI()*(Pinus[[#This Row],[d_cm]]^2))/40000</f>
        <v>3.8082417562742006E-2</v>
      </c>
      <c r="F596" s="56">
        <f>Pinus[[#This Row],[gi_m²]]*Pinus[[#This Row],[h_m]]*0.45</f>
        <v>0.27042324711303095</v>
      </c>
    </row>
    <row r="597" spans="1:6" x14ac:dyDescent="0.3">
      <c r="A597" s="37">
        <v>6</v>
      </c>
      <c r="B597" s="37">
        <v>96</v>
      </c>
      <c r="C597" s="55">
        <v>15.38</v>
      </c>
      <c r="D597" s="55">
        <v>14.18</v>
      </c>
      <c r="E597" s="56">
        <f>(PI()*(Pinus[[#This Row],[d_cm]]^2))/40000</f>
        <v>1.8578153732195138E-2</v>
      </c>
      <c r="F597" s="56">
        <f>Pinus[[#This Row],[gi_m²]]*Pinus[[#This Row],[h_m]]*0.45</f>
        <v>0.11854719896513717</v>
      </c>
    </row>
    <row r="598" spans="1:6" x14ac:dyDescent="0.3">
      <c r="A598" s="37">
        <v>6</v>
      </c>
      <c r="B598" s="37">
        <v>97</v>
      </c>
      <c r="C598" s="55">
        <v>19.489999999999998</v>
      </c>
      <c r="D598" s="55">
        <v>15.24</v>
      </c>
      <c r="E598" s="56">
        <f>(PI()*(Pinus[[#This Row],[d_cm]]^2))/40000</f>
        <v>2.9834142488797101E-2</v>
      </c>
      <c r="F598" s="56">
        <f>Pinus[[#This Row],[gi_m²]]*Pinus[[#This Row],[h_m]]*0.45</f>
        <v>0.20460254918817053</v>
      </c>
    </row>
    <row r="599" spans="1:6" x14ac:dyDescent="0.3">
      <c r="A599" s="37">
        <v>6</v>
      </c>
      <c r="B599" s="37">
        <v>98</v>
      </c>
      <c r="C599" s="55">
        <v>12.23</v>
      </c>
      <c r="D599" s="55">
        <v>13.15</v>
      </c>
      <c r="E599" s="56">
        <f>(PI()*(Pinus[[#This Row],[d_cm]]^2))/40000</f>
        <v>1.174742809540302E-2</v>
      </c>
      <c r="F599" s="56">
        <f>Pinus[[#This Row],[gi_m²]]*Pinus[[#This Row],[h_m]]*0.45</f>
        <v>6.9515405754547371E-2</v>
      </c>
    </row>
    <row r="600" spans="1:6" x14ac:dyDescent="0.3">
      <c r="A600" s="37">
        <v>6</v>
      </c>
      <c r="B600" s="37">
        <v>99</v>
      </c>
      <c r="C600" s="55">
        <v>24.72</v>
      </c>
      <c r="D600" s="55">
        <v>16.3</v>
      </c>
      <c r="E600" s="56">
        <f>(PI()*(Pinus[[#This Row],[d_cm]]^2))/40000</f>
        <v>4.7993985305185123E-2</v>
      </c>
      <c r="F600" s="56">
        <f>Pinus[[#This Row],[gi_m²]]*Pinus[[#This Row],[h_m]]*0.45</f>
        <v>0.35203588221353288</v>
      </c>
    </row>
    <row r="601" spans="1:6" x14ac:dyDescent="0.3">
      <c r="A601" s="37">
        <v>6</v>
      </c>
      <c r="B601" s="37">
        <v>100</v>
      </c>
      <c r="C601" s="55">
        <v>27.44</v>
      </c>
      <c r="D601" s="55">
        <v>16.77</v>
      </c>
      <c r="E601" s="56">
        <f>(PI()*(Pinus[[#This Row],[d_cm]]^2))/40000</f>
        <v>5.9136837456349692E-2</v>
      </c>
      <c r="F601" s="56">
        <f>Pinus[[#This Row],[gi_m²]]*Pinus[[#This Row],[h_m]]*0.45</f>
        <v>0.44627614386434294</v>
      </c>
    </row>
    <row r="602" spans="1:6" x14ac:dyDescent="0.3">
      <c r="A602" s="37">
        <v>7</v>
      </c>
      <c r="B602" s="37">
        <v>1</v>
      </c>
      <c r="C602" s="55">
        <v>24.3</v>
      </c>
      <c r="D602" s="55">
        <v>16.96</v>
      </c>
      <c r="E602" s="56">
        <f>(PI()*(Pinus[[#This Row],[d_cm]]^2))/40000</f>
        <v>4.6376976150455926E-2</v>
      </c>
      <c r="F602" s="56">
        <f>Pinus[[#This Row],[gi_m²]]*Pinus[[#This Row],[h_m]]*0.45</f>
        <v>0.35394908198027969</v>
      </c>
    </row>
    <row r="603" spans="1:6" x14ac:dyDescent="0.3">
      <c r="A603" s="37">
        <v>7</v>
      </c>
      <c r="B603" s="37">
        <v>2</v>
      </c>
      <c r="C603" s="55">
        <v>19.89</v>
      </c>
      <c r="D603" s="55">
        <v>16.02</v>
      </c>
      <c r="E603" s="56">
        <f>(PI()*(Pinus[[#This Row],[d_cm]]^2))/40000</f>
        <v>3.1071301675780764E-2</v>
      </c>
      <c r="F603" s="56">
        <f>Pinus[[#This Row],[gi_m²]]*Pinus[[#This Row],[h_m]]*0.45</f>
        <v>0.22399301378070352</v>
      </c>
    </row>
    <row r="604" spans="1:6" x14ac:dyDescent="0.3">
      <c r="A604" s="37">
        <v>7</v>
      </c>
      <c r="B604" s="37">
        <v>3</v>
      </c>
      <c r="C604" s="55">
        <v>19.87</v>
      </c>
      <c r="D604" s="55">
        <v>16.010000000000002</v>
      </c>
      <c r="E604" s="56">
        <f>(PI()*(Pinus[[#This Row],[d_cm]]^2))/40000</f>
        <v>3.1008846813827404E-2</v>
      </c>
      <c r="F604" s="56">
        <f>Pinus[[#This Row],[gi_m²]]*Pinus[[#This Row],[h_m]]*0.45</f>
        <v>0.22340323687021957</v>
      </c>
    </row>
    <row r="605" spans="1:6" x14ac:dyDescent="0.3">
      <c r="A605" s="37">
        <v>7</v>
      </c>
      <c r="B605" s="37">
        <v>4</v>
      </c>
      <c r="C605" s="55">
        <v>13.94</v>
      </c>
      <c r="D605" s="55">
        <v>14.35</v>
      </c>
      <c r="E605" s="56">
        <f>(PI()*(Pinus[[#This Row],[d_cm]]^2))/40000</f>
        <v>1.526213985447804E-2</v>
      </c>
      <c r="F605" s="56">
        <f>Pinus[[#This Row],[gi_m²]]*Pinus[[#This Row],[h_m]]*0.45</f>
        <v>9.8555268110291944E-2</v>
      </c>
    </row>
    <row r="606" spans="1:6" x14ac:dyDescent="0.3">
      <c r="A606" s="37">
        <v>7</v>
      </c>
      <c r="B606" s="37">
        <v>5</v>
      </c>
      <c r="C606" s="55">
        <v>23.16</v>
      </c>
      <c r="D606" s="55">
        <v>16.73</v>
      </c>
      <c r="E606" s="56">
        <f>(PI()*(Pinus[[#This Row],[d_cm]]^2))/40000</f>
        <v>4.2127626511283829E-2</v>
      </c>
      <c r="F606" s="56">
        <f>Pinus[[#This Row],[gi_m²]]*Pinus[[#This Row],[h_m]]*0.45</f>
        <v>0.31715783619020033</v>
      </c>
    </row>
    <row r="607" spans="1:6" x14ac:dyDescent="0.3">
      <c r="A607" s="37">
        <v>7</v>
      </c>
      <c r="B607" s="37">
        <v>6</v>
      </c>
      <c r="C607" s="55">
        <v>19.16</v>
      </c>
      <c r="D607" s="55">
        <v>15.84</v>
      </c>
      <c r="E607" s="56">
        <f>(PI()*(Pinus[[#This Row],[d_cm]]^2))/40000</f>
        <v>2.8832406401291824E-2</v>
      </c>
      <c r="F607" s="56">
        <f>Pinus[[#This Row],[gi_m²]]*Pinus[[#This Row],[h_m]]*0.45</f>
        <v>0.20551739282840811</v>
      </c>
    </row>
    <row r="608" spans="1:6" x14ac:dyDescent="0.3">
      <c r="A608" s="37">
        <v>7</v>
      </c>
      <c r="B608" s="37">
        <v>7</v>
      </c>
      <c r="C608" s="55">
        <v>17.37</v>
      </c>
      <c r="D608" s="55">
        <v>15.39</v>
      </c>
      <c r="E608" s="56">
        <f>(PI()*(Pinus[[#This Row],[d_cm]]^2))/40000</f>
        <v>2.3696789912597157E-2</v>
      </c>
      <c r="F608" s="56">
        <f>Pinus[[#This Row],[gi_m²]]*Pinus[[#This Row],[h_m]]*0.45</f>
        <v>0.16411211853969163</v>
      </c>
    </row>
    <row r="609" spans="1:6" x14ac:dyDescent="0.3">
      <c r="A609" s="37">
        <v>7</v>
      </c>
      <c r="B609" s="37">
        <v>8</v>
      </c>
      <c r="C609" s="55">
        <v>14.35</v>
      </c>
      <c r="D609" s="55">
        <v>14.49</v>
      </c>
      <c r="E609" s="56">
        <f>(PI()*(Pinus[[#This Row],[d_cm]]^2))/40000</f>
        <v>1.6173115330221102E-2</v>
      </c>
      <c r="F609" s="56">
        <f>Pinus[[#This Row],[gi_m²]]*Pinus[[#This Row],[h_m]]*0.45</f>
        <v>0.1054567985107067</v>
      </c>
    </row>
    <row r="610" spans="1:6" x14ac:dyDescent="0.3">
      <c r="A610" s="37">
        <v>7</v>
      </c>
      <c r="B610" s="37">
        <v>9</v>
      </c>
      <c r="C610" s="55">
        <v>18.8</v>
      </c>
      <c r="D610" s="55">
        <v>15.76</v>
      </c>
      <c r="E610" s="56">
        <f>(PI()*(Pinus[[#This Row],[d_cm]]^2))/40000</f>
        <v>2.7759112687119416E-2</v>
      </c>
      <c r="F610" s="56">
        <f>Pinus[[#This Row],[gi_m²]]*Pinus[[#This Row],[h_m]]*0.45</f>
        <v>0.19686762717705089</v>
      </c>
    </row>
    <row r="611" spans="1:6" x14ac:dyDescent="0.3">
      <c r="A611" s="37">
        <v>7</v>
      </c>
      <c r="B611" s="37">
        <v>10</v>
      </c>
      <c r="C611" s="55">
        <v>16.600000000000001</v>
      </c>
      <c r="D611" s="55">
        <v>15.17</v>
      </c>
      <c r="E611" s="56">
        <f>(PI()*(Pinus[[#This Row],[d_cm]]^2))/40000</f>
        <v>2.1642431790580091E-2</v>
      </c>
      <c r="F611" s="56">
        <f>Pinus[[#This Row],[gi_m²]]*Pinus[[#This Row],[h_m]]*0.45</f>
        <v>0.14774206061839498</v>
      </c>
    </row>
    <row r="612" spans="1:6" x14ac:dyDescent="0.3">
      <c r="A612" s="37">
        <v>7</v>
      </c>
      <c r="B612" s="37">
        <v>11</v>
      </c>
      <c r="C612" s="55">
        <v>18.41</v>
      </c>
      <c r="D612" s="55">
        <v>15.66</v>
      </c>
      <c r="E612" s="56">
        <f>(PI()*(Pinus[[#This Row],[d_cm]]^2))/40000</f>
        <v>2.6619350726378672E-2</v>
      </c>
      <c r="F612" s="56">
        <f>Pinus[[#This Row],[gi_m²]]*Pinus[[#This Row],[h_m]]*0.45</f>
        <v>0.18758656456879053</v>
      </c>
    </row>
    <row r="613" spans="1:6" x14ac:dyDescent="0.3">
      <c r="A613" s="37">
        <v>7</v>
      </c>
      <c r="B613" s="37">
        <v>12</v>
      </c>
      <c r="C613" s="55">
        <v>15.13</v>
      </c>
      <c r="D613" s="55">
        <v>14.74</v>
      </c>
      <c r="E613" s="56">
        <f>(PI()*(Pinus[[#This Row],[d_cm]]^2))/40000</f>
        <v>1.7979091283063735E-2</v>
      </c>
      <c r="F613" s="56">
        <f>Pinus[[#This Row],[gi_m²]]*Pinus[[#This Row],[h_m]]*0.45</f>
        <v>0.11925531248056177</v>
      </c>
    </row>
    <row r="614" spans="1:6" x14ac:dyDescent="0.3">
      <c r="A614" s="37">
        <v>7</v>
      </c>
      <c r="B614" s="37">
        <v>13</v>
      </c>
      <c r="C614" s="55">
        <v>26.75</v>
      </c>
      <c r="D614" s="55">
        <v>17.41</v>
      </c>
      <c r="E614" s="56">
        <f>(PI()*(Pinus[[#This Row],[d_cm]]^2))/40000</f>
        <v>5.6200147329608659E-2</v>
      </c>
      <c r="F614" s="56">
        <f>Pinus[[#This Row],[gi_m²]]*Pinus[[#This Row],[h_m]]*0.45</f>
        <v>0.44030005425381907</v>
      </c>
    </row>
    <row r="615" spans="1:6" x14ac:dyDescent="0.3">
      <c r="A615" s="37">
        <v>7</v>
      </c>
      <c r="B615" s="37">
        <v>14</v>
      </c>
      <c r="C615" s="55">
        <v>19.940000000000001</v>
      </c>
      <c r="D615" s="55">
        <v>16.03</v>
      </c>
      <c r="E615" s="56">
        <f>(PI()*(Pinus[[#This Row],[d_cm]]^2))/40000</f>
        <v>3.122771372002137E-2</v>
      </c>
      <c r="F615" s="56">
        <f>Pinus[[#This Row],[gi_m²]]*Pinus[[#This Row],[h_m]]*0.45</f>
        <v>0.22526111291937417</v>
      </c>
    </row>
    <row r="616" spans="1:6" x14ac:dyDescent="0.3">
      <c r="A616" s="37">
        <v>7</v>
      </c>
      <c r="B616" s="37">
        <v>15</v>
      </c>
      <c r="C616" s="55">
        <v>24.3</v>
      </c>
      <c r="D616" s="55">
        <v>16.96</v>
      </c>
      <c r="E616" s="56">
        <f>(PI()*(Pinus[[#This Row],[d_cm]]^2))/40000</f>
        <v>4.6376976150455926E-2</v>
      </c>
      <c r="F616" s="56">
        <f>Pinus[[#This Row],[gi_m²]]*Pinus[[#This Row],[h_m]]*0.45</f>
        <v>0.35394908198027969</v>
      </c>
    </row>
    <row r="617" spans="1:6" x14ac:dyDescent="0.3">
      <c r="A617" s="37">
        <v>7</v>
      </c>
      <c r="B617" s="37">
        <v>16</v>
      </c>
      <c r="C617" s="55">
        <v>9.59</v>
      </c>
      <c r="D617" s="55">
        <v>12.61</v>
      </c>
      <c r="E617" s="56">
        <f>(PI()*(Pinus[[#This Row],[d_cm]]^2))/40000</f>
        <v>7.2231576831152866E-3</v>
      </c>
      <c r="F617" s="56">
        <f>Pinus[[#This Row],[gi_m²]]*Pinus[[#This Row],[h_m]]*0.45</f>
        <v>4.0987808272837691E-2</v>
      </c>
    </row>
    <row r="618" spans="1:6" x14ac:dyDescent="0.3">
      <c r="A618" s="37">
        <v>7</v>
      </c>
      <c r="B618" s="37">
        <v>17</v>
      </c>
      <c r="C618" s="55">
        <v>18.190000000000001</v>
      </c>
      <c r="D618" s="55">
        <v>15.6</v>
      </c>
      <c r="E618" s="56">
        <f>(PI()*(Pinus[[#This Row],[d_cm]]^2))/40000</f>
        <v>2.5986948125211046E-2</v>
      </c>
      <c r="F618" s="56">
        <f>Pinus[[#This Row],[gi_m²]]*Pinus[[#This Row],[h_m]]*0.45</f>
        <v>0.18242837583898155</v>
      </c>
    </row>
    <row r="619" spans="1:6" x14ac:dyDescent="0.3">
      <c r="A619" s="37">
        <v>7</v>
      </c>
      <c r="B619" s="37">
        <v>18</v>
      </c>
      <c r="C619" s="55">
        <v>17.3</v>
      </c>
      <c r="D619" s="55">
        <v>15.37</v>
      </c>
      <c r="E619" s="56">
        <f>(PI()*(Pinus[[#This Row],[d_cm]]^2))/40000</f>
        <v>2.350618163232223E-2</v>
      </c>
      <c r="F619" s="56">
        <f>Pinus[[#This Row],[gi_m²]]*Pinus[[#This Row],[h_m]]*0.45</f>
        <v>0.16258050525995671</v>
      </c>
    </row>
    <row r="620" spans="1:6" x14ac:dyDescent="0.3">
      <c r="A620" s="37">
        <v>7</v>
      </c>
      <c r="B620" s="37">
        <v>19</v>
      </c>
      <c r="C620" s="55">
        <v>15.11</v>
      </c>
      <c r="D620" s="55">
        <v>14.73</v>
      </c>
      <c r="E620" s="56">
        <f>(PI()*(Pinus[[#This Row],[d_cm]]^2))/40000</f>
        <v>1.7931590402141456E-2</v>
      </c>
      <c r="F620" s="56">
        <f>Pinus[[#This Row],[gi_m²]]*Pinus[[#This Row],[h_m]]*0.45</f>
        <v>0.11885954698059464</v>
      </c>
    </row>
    <row r="621" spans="1:6" x14ac:dyDescent="0.3">
      <c r="A621" s="37">
        <v>7</v>
      </c>
      <c r="B621" s="37">
        <v>20</v>
      </c>
      <c r="C621" s="55">
        <v>26.19</v>
      </c>
      <c r="D621" s="55">
        <v>17.309999999999999</v>
      </c>
      <c r="E621" s="56">
        <f>(PI()*(Pinus[[#This Row],[d_cm]]^2))/40000</f>
        <v>5.3871724518474051E-2</v>
      </c>
      <c r="F621" s="56">
        <f>Pinus[[#This Row],[gi_m²]]*Pinus[[#This Row],[h_m]]*0.45</f>
        <v>0.41963379813665358</v>
      </c>
    </row>
    <row r="622" spans="1:6" x14ac:dyDescent="0.3">
      <c r="A622" s="37">
        <v>7</v>
      </c>
      <c r="B622" s="37">
        <v>21</v>
      </c>
      <c r="C622" s="55">
        <v>14.34</v>
      </c>
      <c r="D622" s="55">
        <v>14.49</v>
      </c>
      <c r="E622" s="56">
        <f>(PI()*(Pinus[[#This Row],[d_cm]]^2))/40000</f>
        <v>1.615058225691323E-2</v>
      </c>
      <c r="F622" s="56">
        <f>Pinus[[#This Row],[gi_m²]]*Pinus[[#This Row],[h_m]]*0.45</f>
        <v>0.10530987160620271</v>
      </c>
    </row>
    <row r="623" spans="1:6" x14ac:dyDescent="0.3">
      <c r="A623" s="37">
        <v>7</v>
      </c>
      <c r="B623" s="37">
        <v>22</v>
      </c>
      <c r="C623" s="55">
        <v>21.27</v>
      </c>
      <c r="D623" s="55">
        <v>16.329999999999998</v>
      </c>
      <c r="E623" s="56">
        <f>(PI()*(Pinus[[#This Row],[d_cm]]^2))/40000</f>
        <v>3.5532426075731344E-2</v>
      </c>
      <c r="F623" s="56">
        <f>Pinus[[#This Row],[gi_m²]]*Pinus[[#This Row],[h_m]]*0.45</f>
        <v>0.26111003301751173</v>
      </c>
    </row>
    <row r="624" spans="1:6" x14ac:dyDescent="0.3">
      <c r="A624" s="37">
        <v>7</v>
      </c>
      <c r="B624" s="37">
        <v>23</v>
      </c>
      <c r="C624" s="55">
        <v>23.39</v>
      </c>
      <c r="D624" s="55">
        <v>16.78</v>
      </c>
      <c r="E624" s="56">
        <f>(PI()*(Pinus[[#This Row],[d_cm]]^2))/40000</f>
        <v>4.2968513054925321E-2</v>
      </c>
      <c r="F624" s="56">
        <f>Pinus[[#This Row],[gi_m²]]*Pinus[[#This Row],[h_m]]*0.45</f>
        <v>0.32445524207774112</v>
      </c>
    </row>
    <row r="625" spans="1:6" x14ac:dyDescent="0.3">
      <c r="A625" s="37">
        <v>7</v>
      </c>
      <c r="B625" s="37">
        <v>24</v>
      </c>
      <c r="C625" s="55">
        <v>20.71</v>
      </c>
      <c r="D625" s="55">
        <v>16.21</v>
      </c>
      <c r="E625" s="56">
        <f>(PI()*(Pinus[[#This Row],[d_cm]]^2))/40000</f>
        <v>3.3686049241363557E-2</v>
      </c>
      <c r="F625" s="56">
        <f>Pinus[[#This Row],[gi_m²]]*Pinus[[#This Row],[h_m]]*0.45</f>
        <v>0.2457228861911265</v>
      </c>
    </row>
    <row r="626" spans="1:6" x14ac:dyDescent="0.3">
      <c r="A626" s="37">
        <v>7</v>
      </c>
      <c r="B626" s="37">
        <v>25</v>
      </c>
      <c r="C626" s="55">
        <v>16.5</v>
      </c>
      <c r="D626" s="55">
        <v>15.14</v>
      </c>
      <c r="E626" s="56">
        <f>(PI()*(Pinus[[#This Row],[d_cm]]^2))/40000</f>
        <v>2.138246499849553E-2</v>
      </c>
      <c r="F626" s="56">
        <f>Pinus[[#This Row],[gi_m²]]*Pinus[[#This Row],[h_m]]*0.45</f>
        <v>0.14567873403475004</v>
      </c>
    </row>
    <row r="627" spans="1:6" x14ac:dyDescent="0.3">
      <c r="A627" s="37">
        <v>7</v>
      </c>
      <c r="B627" s="37">
        <v>26</v>
      </c>
      <c r="C627" s="55">
        <v>23.76</v>
      </c>
      <c r="D627" s="55">
        <v>16.850000000000001</v>
      </c>
      <c r="E627" s="56">
        <f>(PI()*(Pinus[[#This Row],[d_cm]]^2))/40000</f>
        <v>4.4338679420880336E-2</v>
      </c>
      <c r="F627" s="56">
        <f>Pinus[[#This Row],[gi_m²]]*Pinus[[#This Row],[h_m]]*0.45</f>
        <v>0.3361980367088252</v>
      </c>
    </row>
    <row r="628" spans="1:6" x14ac:dyDescent="0.3">
      <c r="A628" s="37">
        <v>7</v>
      </c>
      <c r="B628" s="37">
        <v>27</v>
      </c>
      <c r="C628" s="55">
        <v>20.68</v>
      </c>
      <c r="D628" s="55">
        <v>16.2</v>
      </c>
      <c r="E628" s="56">
        <f>(PI()*(Pinus[[#This Row],[d_cm]]^2))/40000</f>
        <v>3.3588526351414488E-2</v>
      </c>
      <c r="F628" s="56">
        <f>Pinus[[#This Row],[gi_m²]]*Pinus[[#This Row],[h_m]]*0.45</f>
        <v>0.24486035710181164</v>
      </c>
    </row>
    <row r="629" spans="1:6" x14ac:dyDescent="0.3">
      <c r="A629" s="37">
        <v>7</v>
      </c>
      <c r="B629" s="37">
        <v>28</v>
      </c>
      <c r="C629" s="55">
        <v>15.75</v>
      </c>
      <c r="D629" s="55">
        <v>14.93</v>
      </c>
      <c r="E629" s="56">
        <f>(PI()*(Pinus[[#This Row],[d_cm]]^2))/40000</f>
        <v>1.9482783190777953E-2</v>
      </c>
      <c r="F629" s="56">
        <f>Pinus[[#This Row],[gi_m²]]*Pinus[[#This Row],[h_m]]*0.45</f>
        <v>0.13089507886724167</v>
      </c>
    </row>
    <row r="630" spans="1:6" x14ac:dyDescent="0.3">
      <c r="A630" s="37">
        <v>7</v>
      </c>
      <c r="B630" s="37">
        <v>29</v>
      </c>
      <c r="C630" s="55">
        <v>14.45</v>
      </c>
      <c r="D630" s="55">
        <v>14.52</v>
      </c>
      <c r="E630" s="56">
        <f>(PI()*(Pinus[[#This Row],[d_cm]]^2))/40000</f>
        <v>1.6399310001279567E-2</v>
      </c>
      <c r="F630" s="56">
        <f>Pinus[[#This Row],[gi_m²]]*Pinus[[#This Row],[h_m]]*0.45</f>
        <v>0.10715309154836068</v>
      </c>
    </row>
    <row r="631" spans="1:6" x14ac:dyDescent="0.3">
      <c r="A631" s="37">
        <v>7</v>
      </c>
      <c r="B631" s="37">
        <v>30</v>
      </c>
      <c r="C631" s="55">
        <v>28.35</v>
      </c>
      <c r="D631" s="55">
        <v>17.68</v>
      </c>
      <c r="E631" s="56">
        <f>(PI()*(Pinus[[#This Row],[d_cm]]^2))/40000</f>
        <v>6.3124217538120572E-2</v>
      </c>
      <c r="F631" s="56">
        <f>Pinus[[#This Row],[gi_m²]]*Pinus[[#This Row],[h_m]]*0.45</f>
        <v>0.50221627473328734</v>
      </c>
    </row>
    <row r="632" spans="1:6" x14ac:dyDescent="0.3">
      <c r="A632" s="37">
        <v>7</v>
      </c>
      <c r="B632" s="37">
        <v>31</v>
      </c>
      <c r="C632" s="55">
        <v>17.29</v>
      </c>
      <c r="D632" s="55">
        <v>15.36</v>
      </c>
      <c r="E632" s="56">
        <f>(PI()*(Pinus[[#This Row],[d_cm]]^2))/40000</f>
        <v>2.347901470985031E-2</v>
      </c>
      <c r="F632" s="56">
        <f>Pinus[[#This Row],[gi_m²]]*Pinus[[#This Row],[h_m]]*0.45</f>
        <v>0.16228694967448534</v>
      </c>
    </row>
    <row r="633" spans="1:6" x14ac:dyDescent="0.3">
      <c r="A633" s="37">
        <v>7</v>
      </c>
      <c r="B633" s="37">
        <v>32</v>
      </c>
      <c r="C633" s="55">
        <v>12.58</v>
      </c>
      <c r="D633" s="55">
        <v>13.87</v>
      </c>
      <c r="E633" s="56">
        <f>(PI()*(Pinus[[#This Row],[d_cm]]^2))/40000</f>
        <v>1.2429428590589193E-2</v>
      </c>
      <c r="F633" s="56">
        <f>Pinus[[#This Row],[gi_m²]]*Pinus[[#This Row],[h_m]]*0.45</f>
        <v>7.7578278548162447E-2</v>
      </c>
    </row>
    <row r="634" spans="1:6" x14ac:dyDescent="0.3">
      <c r="A634" s="37">
        <v>7</v>
      </c>
      <c r="B634" s="37">
        <v>33</v>
      </c>
      <c r="C634" s="55">
        <v>22.13</v>
      </c>
      <c r="D634" s="55">
        <v>16.52</v>
      </c>
      <c r="E634" s="56">
        <f>(PI()*(Pinus[[#This Row],[d_cm]]^2))/40000</f>
        <v>3.8463846180795971E-2</v>
      </c>
      <c r="F634" s="56">
        <f>Pinus[[#This Row],[gi_m²]]*Pinus[[#This Row],[h_m]]*0.45</f>
        <v>0.28594023250803724</v>
      </c>
    </row>
    <row r="635" spans="1:6" x14ac:dyDescent="0.3">
      <c r="A635" s="37">
        <v>7</v>
      </c>
      <c r="B635" s="37">
        <v>34</v>
      </c>
      <c r="C635" s="55">
        <v>21.24</v>
      </c>
      <c r="D635" s="55">
        <v>16.329999999999998</v>
      </c>
      <c r="E635" s="56">
        <f>(PI()*(Pinus[[#This Row],[d_cm]]^2))/40000</f>
        <v>3.543226424795326E-2</v>
      </c>
      <c r="F635" s="56">
        <f>Pinus[[#This Row],[gi_m²]]*Pinus[[#This Row],[h_m]]*0.45</f>
        <v>0.2603739938260845</v>
      </c>
    </row>
    <row r="636" spans="1:6" x14ac:dyDescent="0.3">
      <c r="A636" s="37">
        <v>7</v>
      </c>
      <c r="B636" s="37">
        <v>35</v>
      </c>
      <c r="C636" s="55">
        <v>14.58</v>
      </c>
      <c r="D636" s="55">
        <v>14.57</v>
      </c>
      <c r="E636" s="56">
        <f>(PI()*(Pinus[[#This Row],[d_cm]]^2))/40000</f>
        <v>1.6695711414164136E-2</v>
      </c>
      <c r="F636" s="56">
        <f>Pinus[[#This Row],[gi_m²]]*Pinus[[#This Row],[h_m]]*0.45</f>
        <v>0.10946543188696715</v>
      </c>
    </row>
    <row r="637" spans="1:6" x14ac:dyDescent="0.3">
      <c r="A637" s="37">
        <v>7</v>
      </c>
      <c r="B637" s="37">
        <v>36</v>
      </c>
      <c r="C637" s="55">
        <v>12.23</v>
      </c>
      <c r="D637" s="55">
        <v>13.74</v>
      </c>
      <c r="E637" s="56">
        <f>(PI()*(Pinus[[#This Row],[d_cm]]^2))/40000</f>
        <v>1.174742809540302E-2</v>
      </c>
      <c r="F637" s="56">
        <f>Pinus[[#This Row],[gi_m²]]*Pinus[[#This Row],[h_m]]*0.45</f>
        <v>7.2634347913876865E-2</v>
      </c>
    </row>
    <row r="638" spans="1:6" x14ac:dyDescent="0.3">
      <c r="A638" s="37">
        <v>7</v>
      </c>
      <c r="B638" s="37">
        <v>37</v>
      </c>
      <c r="C638" s="55">
        <v>19.53</v>
      </c>
      <c r="D638" s="55">
        <v>15.93</v>
      </c>
      <c r="E638" s="56">
        <f>(PI()*(Pinus[[#This Row],[d_cm]]^2))/40000</f>
        <v>2.9956727434140181E-2</v>
      </c>
      <c r="F638" s="56">
        <f>Pinus[[#This Row],[gi_m²]]*Pinus[[#This Row],[h_m]]*0.45</f>
        <v>0.2147448006116339</v>
      </c>
    </row>
    <row r="639" spans="1:6" x14ac:dyDescent="0.3">
      <c r="A639" s="37">
        <v>7</v>
      </c>
      <c r="B639" s="37">
        <v>38</v>
      </c>
      <c r="C639" s="55">
        <v>24.56</v>
      </c>
      <c r="D639" s="55">
        <v>17.010000000000002</v>
      </c>
      <c r="E639" s="56">
        <f>(PI()*(Pinus[[#This Row],[d_cm]]^2))/40000</f>
        <v>4.7374714561309504E-2</v>
      </c>
      <c r="F639" s="56">
        <f>Pinus[[#This Row],[gi_m²]]*Pinus[[#This Row],[h_m]]*0.45</f>
        <v>0.36262975260954367</v>
      </c>
    </row>
    <row r="640" spans="1:6" x14ac:dyDescent="0.3">
      <c r="A640" s="37">
        <v>7</v>
      </c>
      <c r="B640" s="37">
        <v>39</v>
      </c>
      <c r="C640" s="55">
        <v>22.54</v>
      </c>
      <c r="D640" s="55">
        <v>16.61</v>
      </c>
      <c r="E640" s="56">
        <f>(PI()*(Pinus[[#This Row],[d_cm]]^2))/40000</f>
        <v>3.99022793551135E-2</v>
      </c>
      <c r="F640" s="56">
        <f>Pinus[[#This Row],[gi_m²]]*Pinus[[#This Row],[h_m]]*0.45</f>
        <v>0.29824958703979582</v>
      </c>
    </row>
    <row r="641" spans="1:6" x14ac:dyDescent="0.3">
      <c r="A641" s="37">
        <v>7</v>
      </c>
      <c r="B641" s="37">
        <v>40</v>
      </c>
      <c r="C641" s="55">
        <v>18.03</v>
      </c>
      <c r="D641" s="55">
        <v>15.56</v>
      </c>
      <c r="E641" s="56">
        <f>(PI()*(Pinus[[#This Row],[d_cm]]^2))/40000</f>
        <v>2.5531794181558959E-2</v>
      </c>
      <c r="F641" s="56">
        <f>Pinus[[#This Row],[gi_m²]]*Pinus[[#This Row],[h_m]]*0.45</f>
        <v>0.17877362285927584</v>
      </c>
    </row>
    <row r="642" spans="1:6" x14ac:dyDescent="0.3">
      <c r="A642" s="37">
        <v>7</v>
      </c>
      <c r="B642" s="37">
        <v>41</v>
      </c>
      <c r="C642" s="55">
        <v>16.66</v>
      </c>
      <c r="D642" s="55">
        <v>15.19</v>
      </c>
      <c r="E642" s="56">
        <f>(PI()*(Pinus[[#This Row],[d_cm]]^2))/40000</f>
        <v>2.1799165848067681E-2</v>
      </c>
      <c r="F642" s="56">
        <f>Pinus[[#This Row],[gi_m²]]*Pinus[[#This Row],[h_m]]*0.45</f>
        <v>0.14900819815446661</v>
      </c>
    </row>
    <row r="643" spans="1:6" x14ac:dyDescent="0.3">
      <c r="A643" s="37">
        <v>7</v>
      </c>
      <c r="B643" s="37">
        <v>42</v>
      </c>
      <c r="C643" s="55">
        <v>21.08</v>
      </c>
      <c r="D643" s="55">
        <v>16.29</v>
      </c>
      <c r="E643" s="56">
        <f>(PI()*(Pinus[[#This Row],[d_cm]]^2))/40000</f>
        <v>3.490045544355358E-2</v>
      </c>
      <c r="F643" s="56">
        <f>Pinus[[#This Row],[gi_m²]]*Pinus[[#This Row],[h_m]]*0.45</f>
        <v>0.2558377886289695</v>
      </c>
    </row>
    <row r="644" spans="1:6" x14ac:dyDescent="0.3">
      <c r="A644" s="37">
        <v>7</v>
      </c>
      <c r="B644" s="37">
        <v>43</v>
      </c>
      <c r="C644" s="55">
        <v>20.63</v>
      </c>
      <c r="D644" s="55">
        <v>16.190000000000001</v>
      </c>
      <c r="E644" s="56">
        <f>(PI()*(Pinus[[#This Row],[d_cm]]^2))/40000</f>
        <v>3.3426302360764742E-2</v>
      </c>
      <c r="F644" s="56">
        <f>Pinus[[#This Row],[gi_m²]]*Pinus[[#This Row],[h_m]]*0.45</f>
        <v>0.24352732584935158</v>
      </c>
    </row>
    <row r="645" spans="1:6" x14ac:dyDescent="0.3">
      <c r="A645" s="37">
        <v>7</v>
      </c>
      <c r="B645" s="37">
        <v>44</v>
      </c>
      <c r="C645" s="55">
        <v>22.52</v>
      </c>
      <c r="D645" s="55">
        <v>16.600000000000001</v>
      </c>
      <c r="E645" s="56">
        <f>(PI()*(Pinus[[#This Row],[d_cm]]^2))/40000</f>
        <v>3.9831499272628121E-2</v>
      </c>
      <c r="F645" s="56">
        <f>Pinus[[#This Row],[gi_m²]]*Pinus[[#This Row],[h_m]]*0.45</f>
        <v>0.29754129956653208</v>
      </c>
    </row>
    <row r="646" spans="1:6" x14ac:dyDescent="0.3">
      <c r="A646" s="37">
        <v>7</v>
      </c>
      <c r="B646" s="37">
        <v>45</v>
      </c>
      <c r="C646" s="55">
        <v>18.420000000000002</v>
      </c>
      <c r="D646" s="55">
        <v>15.66</v>
      </c>
      <c r="E646" s="56">
        <f>(PI()*(Pinus[[#This Row],[d_cm]]^2))/40000</f>
        <v>2.6648276940736598E-2</v>
      </c>
      <c r="F646" s="56">
        <f>Pinus[[#This Row],[gi_m²]]*Pinus[[#This Row],[h_m]]*0.45</f>
        <v>0.18779040760137081</v>
      </c>
    </row>
    <row r="647" spans="1:6" x14ac:dyDescent="0.3">
      <c r="A647" s="37">
        <v>7</v>
      </c>
      <c r="B647" s="37">
        <v>46</v>
      </c>
      <c r="C647" s="55">
        <v>23.6</v>
      </c>
      <c r="D647" s="55">
        <v>16.82</v>
      </c>
      <c r="E647" s="56">
        <f>(PI()*(Pinus[[#This Row],[d_cm]]^2))/40000</f>
        <v>4.374353610858428E-2</v>
      </c>
      <c r="F647" s="56">
        <f>Pinus[[#This Row],[gi_m²]]*Pinus[[#This Row],[h_m]]*0.45</f>
        <v>0.33109482480587443</v>
      </c>
    </row>
    <row r="648" spans="1:6" x14ac:dyDescent="0.3">
      <c r="A648" s="37">
        <v>7</v>
      </c>
      <c r="B648" s="37">
        <v>47</v>
      </c>
      <c r="C648" s="55">
        <v>16.68</v>
      </c>
      <c r="D648" s="55">
        <v>15.19</v>
      </c>
      <c r="E648" s="56">
        <f>(PI()*(Pinus[[#This Row],[d_cm]]^2))/40000</f>
        <v>2.1851536197603022E-2</v>
      </c>
      <c r="F648" s="56">
        <f>Pinus[[#This Row],[gi_m²]]*Pinus[[#This Row],[h_m]]*0.45</f>
        <v>0.14936617567871546</v>
      </c>
    </row>
    <row r="649" spans="1:6" x14ac:dyDescent="0.3">
      <c r="A649" s="37">
        <v>7</v>
      </c>
      <c r="B649" s="37">
        <v>48</v>
      </c>
      <c r="C649" s="55">
        <v>18.68</v>
      </c>
      <c r="D649" s="55">
        <v>15.72</v>
      </c>
      <c r="E649" s="56">
        <f>(PI()*(Pinus[[#This Row],[d_cm]]^2))/40000</f>
        <v>2.7405872009149772E-2</v>
      </c>
      <c r="F649" s="56">
        <f>Pinus[[#This Row],[gi_m²]]*Pinus[[#This Row],[h_m]]*0.45</f>
        <v>0.1938691385927255</v>
      </c>
    </row>
    <row r="650" spans="1:6" x14ac:dyDescent="0.3">
      <c r="A650" s="37">
        <v>7</v>
      </c>
      <c r="B650" s="37">
        <v>49</v>
      </c>
      <c r="C650" s="55">
        <v>22.96</v>
      </c>
      <c r="D650" s="55">
        <v>16.690000000000001</v>
      </c>
      <c r="E650" s="56">
        <f>(PI()*(Pinus[[#This Row],[d_cm]]^2))/40000</f>
        <v>4.1403175245366027E-2</v>
      </c>
      <c r="F650" s="56">
        <f>Pinus[[#This Row],[gi_m²]]*Pinus[[#This Row],[h_m]]*0.45</f>
        <v>0.31095854768032161</v>
      </c>
    </row>
    <row r="651" spans="1:6" x14ac:dyDescent="0.3">
      <c r="A651" s="37">
        <v>7</v>
      </c>
      <c r="B651" s="37">
        <v>50</v>
      </c>
      <c r="C651" s="55">
        <v>23.96</v>
      </c>
      <c r="D651" s="55">
        <v>16.89</v>
      </c>
      <c r="E651" s="56">
        <f>(PI()*(Pinus[[#This Row],[d_cm]]^2))/40000</f>
        <v>4.508826342802686E-2</v>
      </c>
      <c r="F651" s="56">
        <f>Pinus[[#This Row],[gi_m²]]*Pinus[[#This Row],[h_m]]*0.45</f>
        <v>0.34269334618471814</v>
      </c>
    </row>
    <row r="652" spans="1:6" x14ac:dyDescent="0.3">
      <c r="A652" s="37">
        <v>7</v>
      </c>
      <c r="B652" s="37">
        <v>51</v>
      </c>
      <c r="C652" s="55">
        <v>12.25</v>
      </c>
      <c r="D652" s="55">
        <v>13.75</v>
      </c>
      <c r="E652" s="56">
        <f>(PI()*(Pinus[[#This Row],[d_cm]]^2))/40000</f>
        <v>1.1785881189482959E-2</v>
      </c>
      <c r="F652" s="56">
        <f>Pinus[[#This Row],[gi_m²]]*Pinus[[#This Row],[h_m]]*0.45</f>
        <v>7.2925139859925811E-2</v>
      </c>
    </row>
    <row r="653" spans="1:6" x14ac:dyDescent="0.3">
      <c r="A653" s="37">
        <v>7</v>
      </c>
      <c r="B653" s="37">
        <v>52</v>
      </c>
      <c r="C653" s="55">
        <v>20.43</v>
      </c>
      <c r="D653" s="55">
        <v>16.14</v>
      </c>
      <c r="E653" s="56">
        <f>(PI()*(Pinus[[#This Row],[d_cm]]^2))/40000</f>
        <v>3.2781333388982759E-2</v>
      </c>
      <c r="F653" s="56">
        <f>Pinus[[#This Row],[gi_m²]]*Pinus[[#This Row],[h_m]]*0.45</f>
        <v>0.23809082440418181</v>
      </c>
    </row>
    <row r="654" spans="1:6" x14ac:dyDescent="0.3">
      <c r="A654" s="37">
        <v>7</v>
      </c>
      <c r="B654" s="37">
        <v>53</v>
      </c>
      <c r="C654" s="55">
        <v>22.44</v>
      </c>
      <c r="D654" s="55">
        <v>16.579999999999998</v>
      </c>
      <c r="E654" s="56">
        <f>(PI()*(Pinus[[#This Row],[d_cm]]^2))/40000</f>
        <v>3.9549007261217337E-2</v>
      </c>
      <c r="F654" s="56">
        <f>Pinus[[#This Row],[gi_m²]]*Pinus[[#This Row],[h_m]]*0.45</f>
        <v>0.29507514317594252</v>
      </c>
    </row>
    <row r="655" spans="1:6" x14ac:dyDescent="0.3">
      <c r="A655" s="37">
        <v>7</v>
      </c>
      <c r="B655" s="37">
        <v>54</v>
      </c>
      <c r="C655" s="55">
        <v>14.2</v>
      </c>
      <c r="D655" s="55">
        <v>14.44</v>
      </c>
      <c r="E655" s="56">
        <f>(PI()*(Pinus[[#This Row],[d_cm]]^2))/40000</f>
        <v>1.5836768566746148E-2</v>
      </c>
      <c r="F655" s="56">
        <f>Pinus[[#This Row],[gi_m²]]*Pinus[[#This Row],[h_m]]*0.45</f>
        <v>0.10290732214671647</v>
      </c>
    </row>
    <row r="656" spans="1:6" x14ac:dyDescent="0.3">
      <c r="A656" s="37">
        <v>7</v>
      </c>
      <c r="B656" s="37">
        <v>55</v>
      </c>
      <c r="C656" s="55">
        <v>21.92</v>
      </c>
      <c r="D656" s="55">
        <v>16.47</v>
      </c>
      <c r="E656" s="56">
        <f>(PI()*(Pinus[[#This Row],[d_cm]]^2))/40000</f>
        <v>3.7737313609745173E-2</v>
      </c>
      <c r="F656" s="56">
        <f>Pinus[[#This Row],[gi_m²]]*Pinus[[#This Row],[h_m]]*0.45</f>
        <v>0.27969009981862636</v>
      </c>
    </row>
    <row r="657" spans="1:6" x14ac:dyDescent="0.3">
      <c r="A657" s="37">
        <v>7</v>
      </c>
      <c r="B657" s="37">
        <v>56</v>
      </c>
      <c r="C657" s="55">
        <v>16.690000000000001</v>
      </c>
      <c r="D657" s="55">
        <v>15.2</v>
      </c>
      <c r="E657" s="56">
        <f>(PI()*(Pinus[[#This Row],[d_cm]]^2))/40000</f>
        <v>2.1877744934315595E-2</v>
      </c>
      <c r="F657" s="56">
        <f>Pinus[[#This Row],[gi_m²]]*Pinus[[#This Row],[h_m]]*0.45</f>
        <v>0.14964377535071866</v>
      </c>
    </row>
    <row r="658" spans="1:6" x14ac:dyDescent="0.3">
      <c r="A658" s="37">
        <v>7</v>
      </c>
      <c r="B658" s="37">
        <v>57</v>
      </c>
      <c r="C658" s="55">
        <v>24.08</v>
      </c>
      <c r="D658" s="55">
        <v>16.91</v>
      </c>
      <c r="E658" s="56">
        <f>(PI()*(Pinus[[#This Row],[d_cm]]^2))/40000</f>
        <v>4.5541029761262203E-2</v>
      </c>
      <c r="F658" s="56">
        <f>Pinus[[#This Row],[gi_m²]]*Pinus[[#This Row],[h_m]]*0.45</f>
        <v>0.34654446596832472</v>
      </c>
    </row>
    <row r="659" spans="1:6" x14ac:dyDescent="0.3">
      <c r="A659" s="37">
        <v>7</v>
      </c>
      <c r="B659" s="37">
        <v>58</v>
      </c>
      <c r="C659" s="55">
        <v>22.15</v>
      </c>
      <c r="D659" s="55">
        <v>16.52</v>
      </c>
      <c r="E659" s="56">
        <f>(PI()*(Pinus[[#This Row],[d_cm]]^2))/40000</f>
        <v>3.8533401042146455E-2</v>
      </c>
      <c r="F659" s="56">
        <f>Pinus[[#This Row],[gi_m²]]*Pinus[[#This Row],[h_m]]*0.45</f>
        <v>0.28645730334731678</v>
      </c>
    </row>
    <row r="660" spans="1:6" x14ac:dyDescent="0.3">
      <c r="A660" s="37">
        <v>7</v>
      </c>
      <c r="B660" s="37">
        <v>59</v>
      </c>
      <c r="C660" s="55">
        <v>23.08</v>
      </c>
      <c r="D660" s="55">
        <v>16.71</v>
      </c>
      <c r="E660" s="56">
        <f>(PI()*(Pinus[[#This Row],[d_cm]]^2))/40000</f>
        <v>4.1837092022679843E-2</v>
      </c>
      <c r="F660" s="56">
        <f>Pinus[[#This Row],[gi_m²]]*Pinus[[#This Row],[h_m]]*0.45</f>
        <v>0.31459401346454113</v>
      </c>
    </row>
    <row r="661" spans="1:6" x14ac:dyDescent="0.3">
      <c r="A661" s="37">
        <v>7</v>
      </c>
      <c r="B661" s="37">
        <v>60</v>
      </c>
      <c r="C661" s="55">
        <v>20.48</v>
      </c>
      <c r="D661" s="55">
        <v>16.16</v>
      </c>
      <c r="E661" s="56">
        <f>(PI()*(Pinus[[#This Row],[d_cm]]^2))/40000</f>
        <v>3.2941986583305709E-2</v>
      </c>
      <c r="F661" s="56">
        <f>Pinus[[#This Row],[gi_m²]]*Pinus[[#This Row],[h_m]]*0.45</f>
        <v>0.23955412643379911</v>
      </c>
    </row>
    <row r="662" spans="1:6" x14ac:dyDescent="0.3">
      <c r="A662" s="37">
        <v>7</v>
      </c>
      <c r="B662" s="37">
        <v>61</v>
      </c>
      <c r="C662" s="55">
        <v>23.45</v>
      </c>
      <c r="D662" s="55">
        <v>16.79</v>
      </c>
      <c r="E662" s="56">
        <f>(PI()*(Pinus[[#This Row],[d_cm]]^2))/40000</f>
        <v>4.3189241354766525E-2</v>
      </c>
      <c r="F662" s="56">
        <f>Pinus[[#This Row],[gi_m²]]*Pinus[[#This Row],[h_m]]*0.45</f>
        <v>0.32631631305593845</v>
      </c>
    </row>
    <row r="663" spans="1:6" x14ac:dyDescent="0.3">
      <c r="A663" s="37">
        <v>7</v>
      </c>
      <c r="B663" s="37">
        <v>62</v>
      </c>
      <c r="C663" s="55">
        <v>25.52</v>
      </c>
      <c r="D663" s="55">
        <v>17.190000000000001</v>
      </c>
      <c r="E663" s="56">
        <f>(PI()*(Pinus[[#This Row],[d_cm]]^2))/40000</f>
        <v>5.1150657603512152E-2</v>
      </c>
      <c r="F663" s="56">
        <f>Pinus[[#This Row],[gi_m²]]*Pinus[[#This Row],[h_m]]*0.45</f>
        <v>0.39567591189196832</v>
      </c>
    </row>
    <row r="664" spans="1:6" x14ac:dyDescent="0.3">
      <c r="A664" s="37">
        <v>7</v>
      </c>
      <c r="B664" s="37">
        <v>63</v>
      </c>
      <c r="C664" s="55">
        <v>27.86</v>
      </c>
      <c r="D664" s="55">
        <v>17.600000000000001</v>
      </c>
      <c r="E664" s="56">
        <f>(PI()*(Pinus[[#This Row],[d_cm]]^2))/40000</f>
        <v>6.0961003230656605E-2</v>
      </c>
      <c r="F664" s="56">
        <f>Pinus[[#This Row],[gi_m²]]*Pinus[[#This Row],[h_m]]*0.45</f>
        <v>0.48281114558680033</v>
      </c>
    </row>
    <row r="665" spans="1:6" x14ac:dyDescent="0.3">
      <c r="A665" s="37">
        <v>7</v>
      </c>
      <c r="B665" s="37">
        <v>64</v>
      </c>
      <c r="C665" s="55">
        <v>19.89</v>
      </c>
      <c r="D665" s="55">
        <v>16.02</v>
      </c>
      <c r="E665" s="56">
        <f>(PI()*(Pinus[[#This Row],[d_cm]]^2))/40000</f>
        <v>3.1071301675780764E-2</v>
      </c>
      <c r="F665" s="56">
        <f>Pinus[[#This Row],[gi_m²]]*Pinus[[#This Row],[h_m]]*0.45</f>
        <v>0.22399301378070352</v>
      </c>
    </row>
    <row r="666" spans="1:6" x14ac:dyDescent="0.3">
      <c r="A666" s="37">
        <v>7</v>
      </c>
      <c r="B666" s="37">
        <v>65</v>
      </c>
      <c r="C666" s="55">
        <v>11</v>
      </c>
      <c r="D666" s="55">
        <v>13.25</v>
      </c>
      <c r="E666" s="56">
        <f>(PI()*(Pinus[[#This Row],[d_cm]]^2))/40000</f>
        <v>9.5033177771091243E-3</v>
      </c>
      <c r="F666" s="56">
        <f>Pinus[[#This Row],[gi_m²]]*Pinus[[#This Row],[h_m]]*0.45</f>
        <v>5.6663532246013157E-2</v>
      </c>
    </row>
    <row r="667" spans="1:6" x14ac:dyDescent="0.3">
      <c r="A667" s="37">
        <v>7</v>
      </c>
      <c r="B667" s="37">
        <v>66</v>
      </c>
      <c r="C667" s="55">
        <v>20.13</v>
      </c>
      <c r="D667" s="55">
        <v>16.07</v>
      </c>
      <c r="E667" s="56">
        <f>(PI()*(Pinus[[#This Row],[d_cm]]^2))/40000</f>
        <v>3.1825660903760739E-2</v>
      </c>
      <c r="F667" s="56">
        <f>Pinus[[#This Row],[gi_m²]]*Pinus[[#This Row],[h_m]]*0.45</f>
        <v>0.23014726682554582</v>
      </c>
    </row>
    <row r="668" spans="1:6" x14ac:dyDescent="0.3">
      <c r="A668" s="37">
        <v>7</v>
      </c>
      <c r="B668" s="37">
        <v>67</v>
      </c>
      <c r="C668" s="55">
        <v>20.82</v>
      </c>
      <c r="D668" s="55">
        <v>16.23</v>
      </c>
      <c r="E668" s="56">
        <f>(PI()*(Pinus[[#This Row],[d_cm]]^2))/40000</f>
        <v>3.404484268434841E-2</v>
      </c>
      <c r="F668" s="56">
        <f>Pinus[[#This Row],[gi_m²]]*Pinus[[#This Row],[h_m]]*0.45</f>
        <v>0.24864650854513864</v>
      </c>
    </row>
    <row r="669" spans="1:6" x14ac:dyDescent="0.3">
      <c r="A669" s="37">
        <v>7</v>
      </c>
      <c r="B669" s="37">
        <v>68</v>
      </c>
      <c r="C669" s="55">
        <v>19.38</v>
      </c>
      <c r="D669" s="55">
        <v>15.9</v>
      </c>
      <c r="E669" s="56">
        <f>(PI()*(Pinus[[#This Row],[d_cm]]^2))/40000</f>
        <v>2.9498329796073256E-2</v>
      </c>
      <c r="F669" s="56">
        <f>Pinus[[#This Row],[gi_m²]]*Pinus[[#This Row],[h_m]]*0.45</f>
        <v>0.21106054969090415</v>
      </c>
    </row>
    <row r="670" spans="1:6" x14ac:dyDescent="0.3">
      <c r="A670" s="37">
        <v>7</v>
      </c>
      <c r="B670" s="37">
        <v>69</v>
      </c>
      <c r="C670" s="55">
        <v>22.27</v>
      </c>
      <c r="D670" s="55">
        <v>16.55</v>
      </c>
      <c r="E670" s="56">
        <f>(PI()*(Pinus[[#This Row],[d_cm]]^2))/40000</f>
        <v>3.8952049679163832E-2</v>
      </c>
      <c r="F670" s="56">
        <f>Pinus[[#This Row],[gi_m²]]*Pinus[[#This Row],[h_m]]*0.45</f>
        <v>0.29009538998557266</v>
      </c>
    </row>
    <row r="671" spans="1:6" x14ac:dyDescent="0.3">
      <c r="A671" s="37">
        <v>7</v>
      </c>
      <c r="B671" s="37">
        <v>70</v>
      </c>
      <c r="C671" s="55">
        <v>24.04</v>
      </c>
      <c r="D671" s="55">
        <v>16.91</v>
      </c>
      <c r="E671" s="56">
        <f>(PI()*(Pinus[[#This Row],[d_cm]]^2))/40000</f>
        <v>4.5389856322771475E-2</v>
      </c>
      <c r="F671" s="56">
        <f>Pinus[[#This Row],[gi_m²]]*Pinus[[#This Row],[h_m]]*0.45</f>
        <v>0.34539411168812956</v>
      </c>
    </row>
    <row r="672" spans="1:6" x14ac:dyDescent="0.3">
      <c r="A672" s="37">
        <v>7</v>
      </c>
      <c r="B672" s="37">
        <v>71</v>
      </c>
      <c r="C672" s="55">
        <v>17.93</v>
      </c>
      <c r="D672" s="55">
        <v>15.53</v>
      </c>
      <c r="E672" s="56">
        <f>(PI()*(Pinus[[#This Row],[d_cm]]^2))/40000</f>
        <v>2.5249365002001228E-2</v>
      </c>
      <c r="F672" s="56">
        <f>Pinus[[#This Row],[gi_m²]]*Pinus[[#This Row],[h_m]]*0.45</f>
        <v>0.17645518731648557</v>
      </c>
    </row>
    <row r="673" spans="1:6" x14ac:dyDescent="0.3">
      <c r="A673" s="37">
        <v>7</v>
      </c>
      <c r="B673" s="37">
        <v>72</v>
      </c>
      <c r="C673" s="55">
        <v>18.82</v>
      </c>
      <c r="D673" s="55">
        <v>15.76</v>
      </c>
      <c r="E673" s="56">
        <f>(PI()*(Pinus[[#This Row],[d_cm]]^2))/40000</f>
        <v>2.7818206044933437E-2</v>
      </c>
      <c r="F673" s="56">
        <f>Pinus[[#This Row],[gi_m²]]*Pinus[[#This Row],[h_m]]*0.45</f>
        <v>0.19728671727066793</v>
      </c>
    </row>
    <row r="674" spans="1:6" x14ac:dyDescent="0.3">
      <c r="A674" s="37">
        <v>7</v>
      </c>
      <c r="B674" s="37">
        <v>73</v>
      </c>
      <c r="C674" s="55">
        <v>21.59</v>
      </c>
      <c r="D674" s="55">
        <v>16.399999999999999</v>
      </c>
      <c r="E674" s="56">
        <f>(PI()*(Pinus[[#This Row],[d_cm]]^2))/40000</f>
        <v>3.6609615364794214E-2</v>
      </c>
      <c r="F674" s="56">
        <f>Pinus[[#This Row],[gi_m²]]*Pinus[[#This Row],[h_m]]*0.45</f>
        <v>0.27017896139218128</v>
      </c>
    </row>
    <row r="675" spans="1:6" x14ac:dyDescent="0.3">
      <c r="A675" s="37">
        <v>7</v>
      </c>
      <c r="B675" s="37">
        <v>74</v>
      </c>
      <c r="C675" s="55">
        <v>17.8</v>
      </c>
      <c r="D675" s="55">
        <v>15.5</v>
      </c>
      <c r="E675" s="56">
        <f>(PI()*(Pinus[[#This Row],[d_cm]]^2))/40000</f>
        <v>2.4884555409084755E-2</v>
      </c>
      <c r="F675" s="56">
        <f>Pinus[[#This Row],[gi_m²]]*Pinus[[#This Row],[h_m]]*0.45</f>
        <v>0.17356977397836618</v>
      </c>
    </row>
    <row r="676" spans="1:6" x14ac:dyDescent="0.3">
      <c r="A676" s="37">
        <v>7</v>
      </c>
      <c r="B676" s="37">
        <v>75</v>
      </c>
      <c r="C676" s="55">
        <v>20.37</v>
      </c>
      <c r="D676" s="55">
        <v>16.13</v>
      </c>
      <c r="E676" s="56">
        <f>(PI()*(Pinus[[#This Row],[d_cm]]^2))/40000</f>
        <v>3.2589067918583063E-2</v>
      </c>
      <c r="F676" s="56">
        <f>Pinus[[#This Row],[gi_m²]]*Pinus[[#This Row],[h_m]]*0.45</f>
        <v>0.23654774948703514</v>
      </c>
    </row>
    <row r="677" spans="1:6" x14ac:dyDescent="0.3">
      <c r="A677" s="37">
        <v>7</v>
      </c>
      <c r="B677" s="37">
        <v>76</v>
      </c>
      <c r="C677" s="55">
        <v>12.15</v>
      </c>
      <c r="D677" s="55">
        <v>13.71</v>
      </c>
      <c r="E677" s="56">
        <f>(PI()*(Pinus[[#This Row],[d_cm]]^2))/40000</f>
        <v>1.1594244037613981E-2</v>
      </c>
      <c r="F677" s="56">
        <f>Pinus[[#This Row],[gi_m²]]*Pinus[[#This Row],[h_m]]*0.45</f>
        <v>7.1530688590059469E-2</v>
      </c>
    </row>
    <row r="678" spans="1:6" x14ac:dyDescent="0.3">
      <c r="A678" s="37">
        <v>7</v>
      </c>
      <c r="B678" s="37">
        <v>77</v>
      </c>
      <c r="C678" s="55">
        <v>15.52</v>
      </c>
      <c r="D678" s="55">
        <v>14.86</v>
      </c>
      <c r="E678" s="56">
        <f>(PI()*(Pinus[[#This Row],[d_cm]]^2))/40000</f>
        <v>1.8917916977680874E-2</v>
      </c>
      <c r="F678" s="56">
        <f>Pinus[[#This Row],[gi_m²]]*Pinus[[#This Row],[h_m]]*0.45</f>
        <v>0.12650411082975199</v>
      </c>
    </row>
    <row r="679" spans="1:6" x14ac:dyDescent="0.3">
      <c r="A679" s="37">
        <v>7</v>
      </c>
      <c r="B679" s="37">
        <v>78</v>
      </c>
      <c r="C679" s="55">
        <v>14.69</v>
      </c>
      <c r="D679" s="55">
        <v>14.6</v>
      </c>
      <c r="E679" s="56">
        <f>(PI()*(Pinus[[#This Row],[d_cm]]^2))/40000</f>
        <v>1.6948586060833208E-2</v>
      </c>
      <c r="F679" s="56">
        <f>Pinus[[#This Row],[gi_m²]]*Pinus[[#This Row],[h_m]]*0.45</f>
        <v>0.11135221041967418</v>
      </c>
    </row>
    <row r="680" spans="1:6" x14ac:dyDescent="0.3">
      <c r="A680" s="37">
        <v>7</v>
      </c>
      <c r="B680" s="37">
        <v>79</v>
      </c>
      <c r="C680" s="55">
        <v>16.59</v>
      </c>
      <c r="D680" s="55">
        <v>15.17</v>
      </c>
      <c r="E680" s="56">
        <f>(PI()*(Pinus[[#This Row],[d_cm]]^2))/40000</f>
        <v>2.1616364425536924E-2</v>
      </c>
      <c r="F680" s="56">
        <f>Pinus[[#This Row],[gi_m²]]*Pinus[[#This Row],[h_m]]*0.45</f>
        <v>0.14756411175092782</v>
      </c>
    </row>
    <row r="681" spans="1:6" x14ac:dyDescent="0.3">
      <c r="A681" s="37">
        <v>7</v>
      </c>
      <c r="B681" s="37">
        <v>80</v>
      </c>
      <c r="C681" s="55">
        <v>17.23</v>
      </c>
      <c r="D681" s="55">
        <v>15.35</v>
      </c>
      <c r="E681" s="56">
        <f>(PI()*(Pinus[[#This Row],[d_cm]]^2))/40000</f>
        <v>2.3316343042247435E-2</v>
      </c>
      <c r="F681" s="56">
        <f>Pinus[[#This Row],[gi_m²]]*Pinus[[#This Row],[h_m]]*0.45</f>
        <v>0.16105763956432417</v>
      </c>
    </row>
    <row r="682" spans="1:6" x14ac:dyDescent="0.3">
      <c r="A682" s="37">
        <v>7</v>
      </c>
      <c r="B682" s="37">
        <v>81</v>
      </c>
      <c r="C682" s="55">
        <v>21.53</v>
      </c>
      <c r="D682" s="55">
        <v>16.39</v>
      </c>
      <c r="E682" s="56">
        <f>(PI()*(Pinus[[#This Row],[d_cm]]^2))/40000</f>
        <v>3.6406417151960024E-2</v>
      </c>
      <c r="F682" s="56">
        <f>Pinus[[#This Row],[gi_m²]]*Pinus[[#This Row],[h_m]]*0.45</f>
        <v>0.26851552970428122</v>
      </c>
    </row>
    <row r="683" spans="1:6" x14ac:dyDescent="0.3">
      <c r="A683" s="37">
        <v>7</v>
      </c>
      <c r="B683" s="37">
        <v>82</v>
      </c>
      <c r="C683" s="55">
        <v>23.93</v>
      </c>
      <c r="D683" s="55">
        <v>16.88</v>
      </c>
      <c r="E683" s="56">
        <f>(PI()*(Pinus[[#This Row],[d_cm]]^2))/40000</f>
        <v>4.4975425273891548E-2</v>
      </c>
      <c r="F683" s="56">
        <f>Pinus[[#This Row],[gi_m²]]*Pinus[[#This Row],[h_m]]*0.45</f>
        <v>0.34163333038048016</v>
      </c>
    </row>
    <row r="684" spans="1:6" x14ac:dyDescent="0.3">
      <c r="A684" s="37">
        <v>7</v>
      </c>
      <c r="B684" s="37">
        <v>83</v>
      </c>
      <c r="C684" s="55">
        <v>17.09</v>
      </c>
      <c r="D684" s="55">
        <v>15.31</v>
      </c>
      <c r="E684" s="56">
        <f>(PI()*(Pinus[[#This Row],[d_cm]]^2))/40000</f>
        <v>2.2938974932698229E-2</v>
      </c>
      <c r="F684" s="56">
        <f>Pinus[[#This Row],[gi_m²]]*Pinus[[#This Row],[h_m]]*0.45</f>
        <v>0.15803806779882446</v>
      </c>
    </row>
    <row r="685" spans="1:6" x14ac:dyDescent="0.3">
      <c r="A685" s="37">
        <v>7</v>
      </c>
      <c r="B685" s="37">
        <v>84</v>
      </c>
      <c r="C685" s="55">
        <v>16.010000000000002</v>
      </c>
      <c r="D685" s="55">
        <v>15</v>
      </c>
      <c r="E685" s="56">
        <f>(PI()*(Pinus[[#This Row],[d_cm]]^2))/40000</f>
        <v>2.0131333578185029E-2</v>
      </c>
      <c r="F685" s="56">
        <f>Pinus[[#This Row],[gi_m²]]*Pinus[[#This Row],[h_m]]*0.45</f>
        <v>0.13588650165274896</v>
      </c>
    </row>
    <row r="686" spans="1:6" x14ac:dyDescent="0.3">
      <c r="A686" s="37">
        <v>7</v>
      </c>
      <c r="B686" s="37">
        <v>85</v>
      </c>
      <c r="C686" s="55">
        <v>15.83</v>
      </c>
      <c r="D686" s="55">
        <v>14.95</v>
      </c>
      <c r="E686" s="56">
        <f>(PI()*(Pinus[[#This Row],[d_cm]]^2))/40000</f>
        <v>1.9681206182778684E-2</v>
      </c>
      <c r="F686" s="56">
        <f>Pinus[[#This Row],[gi_m²]]*Pinus[[#This Row],[h_m]]*0.45</f>
        <v>0.13240531459464361</v>
      </c>
    </row>
    <row r="687" spans="1:6" x14ac:dyDescent="0.3">
      <c r="A687" s="37">
        <v>7</v>
      </c>
      <c r="B687" s="37">
        <v>86</v>
      </c>
      <c r="C687" s="55">
        <v>18.34</v>
      </c>
      <c r="D687" s="55">
        <v>15.64</v>
      </c>
      <c r="E687" s="56">
        <f>(PI()*(Pinus[[#This Row],[d_cm]]^2))/40000</f>
        <v>2.6417307048844672E-2</v>
      </c>
      <c r="F687" s="56">
        <f>Pinus[[#This Row],[gi_m²]]*Pinus[[#This Row],[h_m]]*0.45</f>
        <v>0.18592500700976883</v>
      </c>
    </row>
    <row r="688" spans="1:6" x14ac:dyDescent="0.3">
      <c r="A688" s="37">
        <v>7</v>
      </c>
      <c r="B688" s="37">
        <v>87</v>
      </c>
      <c r="C688" s="55">
        <v>19.04</v>
      </c>
      <c r="D688" s="55">
        <v>15.82</v>
      </c>
      <c r="E688" s="56">
        <f>(PI()*(Pinus[[#This Row],[d_cm]]^2))/40000</f>
        <v>2.847237988319044E-2</v>
      </c>
      <c r="F688" s="56">
        <f>Pinus[[#This Row],[gi_m²]]*Pinus[[#This Row],[h_m]]*0.45</f>
        <v>0.20269487238843276</v>
      </c>
    </row>
    <row r="689" spans="1:6" x14ac:dyDescent="0.3">
      <c r="A689" s="37">
        <v>7</v>
      </c>
      <c r="B689" s="37">
        <v>88</v>
      </c>
      <c r="C689" s="55">
        <v>21.93</v>
      </c>
      <c r="D689" s="55">
        <v>16.48</v>
      </c>
      <c r="E689" s="56">
        <f>(PI()*(Pinus[[#This Row],[d_cm]]^2))/40000</f>
        <v>3.777175331921015E-2</v>
      </c>
      <c r="F689" s="56">
        <f>Pinus[[#This Row],[gi_m²]]*Pinus[[#This Row],[h_m]]*0.45</f>
        <v>0.28011532261526245</v>
      </c>
    </row>
    <row r="690" spans="1:6" x14ac:dyDescent="0.3">
      <c r="A690" s="37">
        <v>7</v>
      </c>
      <c r="B690" s="37">
        <v>89</v>
      </c>
      <c r="C690" s="55">
        <v>18.71</v>
      </c>
      <c r="D690" s="55">
        <v>15.73</v>
      </c>
      <c r="E690" s="56">
        <f>(PI()*(Pinus[[#This Row],[d_cm]]^2))/40000</f>
        <v>2.7493970121138075E-2</v>
      </c>
      <c r="F690" s="56">
        <f>Pinus[[#This Row],[gi_m²]]*Pinus[[#This Row],[h_m]]*0.45</f>
        <v>0.19461606750247587</v>
      </c>
    </row>
    <row r="691" spans="1:6" x14ac:dyDescent="0.3">
      <c r="A691" s="37">
        <v>7</v>
      </c>
      <c r="B691" s="37">
        <v>90</v>
      </c>
      <c r="C691" s="55">
        <v>11.69</v>
      </c>
      <c r="D691" s="55">
        <v>13.53</v>
      </c>
      <c r="E691" s="56">
        <f>(PI()*(Pinus[[#This Row],[d_cm]]^2))/40000</f>
        <v>1.0732944995705802E-2</v>
      </c>
      <c r="F691" s="56">
        <f>Pinus[[#This Row],[gi_m²]]*Pinus[[#This Row],[h_m]]*0.45</f>
        <v>6.534753560635477E-2</v>
      </c>
    </row>
    <row r="692" spans="1:6" x14ac:dyDescent="0.3">
      <c r="A692" s="37">
        <v>7</v>
      </c>
      <c r="B692" s="37">
        <v>91</v>
      </c>
      <c r="C692" s="55">
        <v>19.63</v>
      </c>
      <c r="D692" s="55">
        <v>15.96</v>
      </c>
      <c r="E692" s="56">
        <f>(PI()*(Pinus[[#This Row],[d_cm]]^2))/40000</f>
        <v>3.0264289354926616E-2</v>
      </c>
      <c r="F692" s="56">
        <f>Pinus[[#This Row],[gi_m²]]*Pinus[[#This Row],[h_m]]*0.45</f>
        <v>0.21735812614708297</v>
      </c>
    </row>
    <row r="693" spans="1:6" x14ac:dyDescent="0.3">
      <c r="A693" s="37">
        <v>7</v>
      </c>
      <c r="B693" s="37">
        <v>92</v>
      </c>
      <c r="C693" s="55">
        <v>24.75</v>
      </c>
      <c r="D693" s="55">
        <v>17.04</v>
      </c>
      <c r="E693" s="56">
        <f>(PI()*(Pinus[[#This Row],[d_cm]]^2))/40000</f>
        <v>4.8110546246614941E-2</v>
      </c>
      <c r="F693" s="56">
        <f>Pinus[[#This Row],[gi_m²]]*Pinus[[#This Row],[h_m]]*0.45</f>
        <v>0.36891166861904334</v>
      </c>
    </row>
    <row r="694" spans="1:6" x14ac:dyDescent="0.3">
      <c r="A694" s="37">
        <v>7</v>
      </c>
      <c r="B694" s="37">
        <v>93</v>
      </c>
      <c r="C694" s="55">
        <v>24.77</v>
      </c>
      <c r="D694" s="55">
        <v>17.05</v>
      </c>
      <c r="E694" s="56">
        <f>(PI()*(Pinus[[#This Row],[d_cm]]^2))/40000</f>
        <v>4.8188332080717829E-2</v>
      </c>
      <c r="F694" s="56">
        <f>Pinus[[#This Row],[gi_m²]]*Pinus[[#This Row],[h_m]]*0.45</f>
        <v>0.36972497788930758</v>
      </c>
    </row>
    <row r="695" spans="1:6" x14ac:dyDescent="0.3">
      <c r="A695" s="37">
        <v>7</v>
      </c>
      <c r="B695" s="37">
        <v>94</v>
      </c>
      <c r="C695" s="55">
        <v>16.84</v>
      </c>
      <c r="D695" s="55">
        <v>15.24</v>
      </c>
      <c r="E695" s="56">
        <f>(PI()*(Pinus[[#This Row],[d_cm]]^2))/40000</f>
        <v>2.2272760940596343E-2</v>
      </c>
      <c r="F695" s="56">
        <f>Pinus[[#This Row],[gi_m²]]*Pinus[[#This Row],[h_m]]*0.45</f>
        <v>0.15274659453060971</v>
      </c>
    </row>
    <row r="696" spans="1:6" x14ac:dyDescent="0.3">
      <c r="A696" s="37">
        <v>7</v>
      </c>
      <c r="B696" s="37">
        <v>95</v>
      </c>
      <c r="C696" s="55">
        <v>13.81</v>
      </c>
      <c r="D696" s="55">
        <v>14.31</v>
      </c>
      <c r="E696" s="56">
        <f>(PI()*(Pinus[[#This Row],[d_cm]]^2))/40000</f>
        <v>1.4978807467032411E-2</v>
      </c>
      <c r="F696" s="56">
        <f>Pinus[[#This Row],[gi_m²]]*Pinus[[#This Row],[h_m]]*0.45</f>
        <v>9.645603068395521E-2</v>
      </c>
    </row>
    <row r="697" spans="1:6" x14ac:dyDescent="0.3">
      <c r="A697" s="37">
        <v>7</v>
      </c>
      <c r="B697" s="37">
        <v>96</v>
      </c>
      <c r="C697" s="55">
        <v>29.83</v>
      </c>
      <c r="D697" s="55">
        <v>17.920000000000002</v>
      </c>
      <c r="E697" s="56">
        <f>(PI()*(Pinus[[#This Row],[d_cm]]^2))/40000</f>
        <v>6.9886998379797158E-2</v>
      </c>
      <c r="F697" s="56">
        <f>Pinus[[#This Row],[gi_m²]]*Pinus[[#This Row],[h_m]]*0.45</f>
        <v>0.56356875493468439</v>
      </c>
    </row>
    <row r="698" spans="1:6" x14ac:dyDescent="0.3">
      <c r="A698" s="37">
        <v>7</v>
      </c>
      <c r="B698" s="37">
        <v>97</v>
      </c>
      <c r="C698" s="55">
        <v>19.350000000000001</v>
      </c>
      <c r="D698" s="55">
        <v>15.89</v>
      </c>
      <c r="E698" s="56">
        <f>(PI()*(Pinus[[#This Row],[d_cm]]^2))/40000</f>
        <v>2.9407074383468113E-2</v>
      </c>
      <c r="F698" s="56">
        <f>Pinus[[#This Row],[gi_m²]]*Pinus[[#This Row],[h_m]]*0.45</f>
        <v>0.21027528537898876</v>
      </c>
    </row>
    <row r="699" spans="1:6" x14ac:dyDescent="0.3">
      <c r="A699" s="37">
        <v>7</v>
      </c>
      <c r="B699" s="37">
        <v>98</v>
      </c>
      <c r="C699" s="55">
        <v>19.61</v>
      </c>
      <c r="D699" s="55">
        <v>15.95</v>
      </c>
      <c r="E699" s="56">
        <f>(PI()*(Pinus[[#This Row],[d_cm]]^2))/40000</f>
        <v>3.0202651307063188E-2</v>
      </c>
      <c r="F699" s="56">
        <f>Pinus[[#This Row],[gi_m²]]*Pinus[[#This Row],[h_m]]*0.45</f>
        <v>0.21677952975644602</v>
      </c>
    </row>
    <row r="700" spans="1:6" x14ac:dyDescent="0.3">
      <c r="A700" s="37">
        <v>7</v>
      </c>
      <c r="B700" s="37">
        <v>99</v>
      </c>
      <c r="C700" s="55">
        <v>21.68</v>
      </c>
      <c r="D700" s="55">
        <v>16.420000000000002</v>
      </c>
      <c r="E700" s="56">
        <f>(PI()*(Pinus[[#This Row],[d_cm]]^2))/40000</f>
        <v>3.6915472971566075E-2</v>
      </c>
      <c r="F700" s="56">
        <f>Pinus[[#This Row],[gi_m²]]*Pinus[[#This Row],[h_m]]*0.45</f>
        <v>0.27276842978690174</v>
      </c>
    </row>
    <row r="701" spans="1:6" x14ac:dyDescent="0.3">
      <c r="A701" s="37">
        <v>7</v>
      </c>
      <c r="B701" s="37">
        <v>100</v>
      </c>
      <c r="C701" s="55">
        <v>13.54</v>
      </c>
      <c r="D701" s="55">
        <v>14.22</v>
      </c>
      <c r="E701" s="56">
        <f>(PI()*(Pinus[[#This Row],[d_cm]]^2))/40000</f>
        <v>1.4398830193271562E-2</v>
      </c>
      <c r="F701" s="56">
        <f>Pinus[[#This Row],[gi_m²]]*Pinus[[#This Row],[h_m]]*0.45</f>
        <v>9.2138114406744728E-2</v>
      </c>
    </row>
    <row r="702" spans="1:6" x14ac:dyDescent="0.3">
      <c r="A702" s="37">
        <v>8</v>
      </c>
      <c r="B702" s="37">
        <v>1</v>
      </c>
      <c r="C702" s="55">
        <v>17.09</v>
      </c>
      <c r="D702" s="55">
        <v>12.06</v>
      </c>
      <c r="E702" s="56">
        <f>(PI()*(Pinus[[#This Row],[d_cm]]^2))/40000</f>
        <v>2.2938974932698229E-2</v>
      </c>
      <c r="F702" s="56">
        <f>Pinus[[#This Row],[gi_m²]]*Pinus[[#This Row],[h_m]]*0.45</f>
        <v>0.12448981695975331</v>
      </c>
    </row>
    <row r="703" spans="1:6" x14ac:dyDescent="0.3">
      <c r="A703" s="37">
        <v>8</v>
      </c>
      <c r="B703" s="37">
        <v>2</v>
      </c>
      <c r="C703" s="55">
        <v>13.84</v>
      </c>
      <c r="D703" s="55">
        <v>11.28</v>
      </c>
      <c r="E703" s="56">
        <f>(PI()*(Pinus[[#This Row],[d_cm]]^2))/40000</f>
        <v>1.5043956244686229E-2</v>
      </c>
      <c r="F703" s="56">
        <f>Pinus[[#This Row],[gi_m²]]*Pinus[[#This Row],[h_m]]*0.45</f>
        <v>7.6363121898027297E-2</v>
      </c>
    </row>
    <row r="704" spans="1:6" x14ac:dyDescent="0.3">
      <c r="A704" s="37">
        <v>8</v>
      </c>
      <c r="B704" s="37">
        <v>3</v>
      </c>
      <c r="C704" s="55">
        <v>17.23</v>
      </c>
      <c r="D704" s="55">
        <v>12.09</v>
      </c>
      <c r="E704" s="56">
        <f>(PI()*(Pinus[[#This Row],[d_cm]]^2))/40000</f>
        <v>2.3316343042247435E-2</v>
      </c>
      <c r="F704" s="56">
        <f>Pinus[[#This Row],[gi_m²]]*Pinus[[#This Row],[h_m]]*0.45</f>
        <v>0.12685256432134717</v>
      </c>
    </row>
    <row r="705" spans="1:6" x14ac:dyDescent="0.3">
      <c r="A705" s="37">
        <v>8</v>
      </c>
      <c r="B705" s="37">
        <v>4</v>
      </c>
      <c r="C705" s="55">
        <v>20.48</v>
      </c>
      <c r="D705" s="55">
        <v>12.72</v>
      </c>
      <c r="E705" s="56">
        <f>(PI()*(Pinus[[#This Row],[d_cm]]^2))/40000</f>
        <v>3.2941986583305709E-2</v>
      </c>
      <c r="F705" s="56">
        <f>Pinus[[#This Row],[gi_m²]]*Pinus[[#This Row],[h_m]]*0.45</f>
        <v>0.1885599312028419</v>
      </c>
    </row>
    <row r="706" spans="1:6" x14ac:dyDescent="0.3">
      <c r="A706" s="37">
        <v>8</v>
      </c>
      <c r="B706" s="37">
        <v>5</v>
      </c>
      <c r="C706" s="55">
        <v>14.54</v>
      </c>
      <c r="D706" s="55">
        <v>11.46</v>
      </c>
      <c r="E706" s="56">
        <f>(PI()*(Pinus[[#This Row],[d_cm]]^2))/40000</f>
        <v>1.6604228236091596E-2</v>
      </c>
      <c r="F706" s="56">
        <f>Pinus[[#This Row],[gi_m²]]*Pinus[[#This Row],[h_m]]*0.45</f>
        <v>8.5628005013524369E-2</v>
      </c>
    </row>
    <row r="707" spans="1:6" x14ac:dyDescent="0.3">
      <c r="A707" s="37">
        <v>8</v>
      </c>
      <c r="B707" s="37">
        <v>6</v>
      </c>
      <c r="C707" s="55">
        <v>22.36</v>
      </c>
      <c r="D707" s="55">
        <v>13.05</v>
      </c>
      <c r="E707" s="56">
        <f>(PI()*(Pinus[[#This Row],[d_cm]]^2))/40000</f>
        <v>3.9267520559455683E-2</v>
      </c>
      <c r="F707" s="56">
        <f>Pinus[[#This Row],[gi_m²]]*Pinus[[#This Row],[h_m]]*0.45</f>
        <v>0.23059851448540353</v>
      </c>
    </row>
    <row r="708" spans="1:6" x14ac:dyDescent="0.3">
      <c r="A708" s="37">
        <v>8</v>
      </c>
      <c r="B708" s="37">
        <v>7</v>
      </c>
      <c r="C708" s="55">
        <v>21.16</v>
      </c>
      <c r="D708" s="55">
        <v>12.84</v>
      </c>
      <c r="E708" s="56">
        <f>(PI()*(Pinus[[#This Row],[d_cm]]^2))/40000</f>
        <v>3.5165857190928851E-2</v>
      </c>
      <c r="F708" s="56">
        <f>Pinus[[#This Row],[gi_m²]]*Pinus[[#This Row],[h_m]]*0.45</f>
        <v>0.20318832284918689</v>
      </c>
    </row>
    <row r="709" spans="1:6" x14ac:dyDescent="0.3">
      <c r="A709" s="37">
        <v>8</v>
      </c>
      <c r="B709" s="37">
        <v>8</v>
      </c>
      <c r="C709" s="55">
        <v>16.38</v>
      </c>
      <c r="D709" s="55">
        <v>11.9</v>
      </c>
      <c r="E709" s="56">
        <f>(PI()*(Pinus[[#This Row],[d_cm]]^2))/40000</f>
        <v>2.1072578299145432E-2</v>
      </c>
      <c r="F709" s="56">
        <f>Pinus[[#This Row],[gi_m²]]*Pinus[[#This Row],[h_m]]*0.45</f>
        <v>0.1128436567919238</v>
      </c>
    </row>
    <row r="710" spans="1:6" x14ac:dyDescent="0.3">
      <c r="A710" s="37">
        <v>8</v>
      </c>
      <c r="B710" s="37">
        <v>9</v>
      </c>
      <c r="C710" s="55">
        <v>20.91</v>
      </c>
      <c r="D710" s="55">
        <v>12.8</v>
      </c>
      <c r="E710" s="56">
        <f>(PI()*(Pinus[[#This Row],[d_cm]]^2))/40000</f>
        <v>3.4339814672575582E-2</v>
      </c>
      <c r="F710" s="56">
        <f>Pinus[[#This Row],[gi_m²]]*Pinus[[#This Row],[h_m]]*0.45</f>
        <v>0.19779733251403536</v>
      </c>
    </row>
    <row r="711" spans="1:6" x14ac:dyDescent="0.3">
      <c r="A711" s="37">
        <v>8</v>
      </c>
      <c r="B711" s="37">
        <v>10</v>
      </c>
      <c r="C711" s="55">
        <v>22.99</v>
      </c>
      <c r="D711" s="55">
        <v>13.15</v>
      </c>
      <c r="E711" s="56">
        <f>(PI()*(Pinus[[#This Row],[d_cm]]^2))/40000</f>
        <v>4.1511442382190358E-2</v>
      </c>
      <c r="F711" s="56">
        <f>Pinus[[#This Row],[gi_m²]]*Pinus[[#This Row],[h_m]]*0.45</f>
        <v>0.24564396029661148</v>
      </c>
    </row>
    <row r="712" spans="1:6" x14ac:dyDescent="0.3">
      <c r="A712" s="37">
        <v>8</v>
      </c>
      <c r="B712" s="37">
        <v>11</v>
      </c>
      <c r="C712" s="55">
        <v>24.24</v>
      </c>
      <c r="D712" s="55">
        <v>13.35</v>
      </c>
      <c r="E712" s="56">
        <f>(PI()*(Pinus[[#This Row],[d_cm]]^2))/40000</f>
        <v>4.6148236789348047E-2</v>
      </c>
      <c r="F712" s="56">
        <f>Pinus[[#This Row],[gi_m²]]*Pinus[[#This Row],[h_m]]*0.45</f>
        <v>0.27723553251200839</v>
      </c>
    </row>
    <row r="713" spans="1:6" x14ac:dyDescent="0.3">
      <c r="A713" s="37">
        <v>8</v>
      </c>
      <c r="B713" s="37">
        <v>12</v>
      </c>
      <c r="C713" s="55">
        <v>19.149999999999999</v>
      </c>
      <c r="D713" s="55">
        <v>12.48</v>
      </c>
      <c r="E713" s="56">
        <f>(PI()*(Pinus[[#This Row],[d_cm]]^2))/40000</f>
        <v>2.8802317797652067E-2</v>
      </c>
      <c r="F713" s="56">
        <f>Pinus[[#This Row],[gi_m²]]*Pinus[[#This Row],[h_m]]*0.45</f>
        <v>0.16175381675161402</v>
      </c>
    </row>
    <row r="714" spans="1:6" x14ac:dyDescent="0.3">
      <c r="A714" s="37">
        <v>8</v>
      </c>
      <c r="B714" s="37">
        <v>13</v>
      </c>
      <c r="C714" s="55">
        <v>19.63</v>
      </c>
      <c r="D714" s="55">
        <v>12.57</v>
      </c>
      <c r="E714" s="56">
        <f>(PI()*(Pinus[[#This Row],[d_cm]]^2))/40000</f>
        <v>3.0264289354926616E-2</v>
      </c>
      <c r="F714" s="56">
        <f>Pinus[[#This Row],[gi_m²]]*Pinus[[#This Row],[h_m]]*0.45</f>
        <v>0.1711899527361424</v>
      </c>
    </row>
    <row r="715" spans="1:6" x14ac:dyDescent="0.3">
      <c r="A715" s="37">
        <v>8</v>
      </c>
      <c r="B715" s="37">
        <v>14</v>
      </c>
      <c r="C715" s="55">
        <v>19.649999999999999</v>
      </c>
      <c r="D715" s="55">
        <v>12.57</v>
      </c>
      <c r="E715" s="56">
        <f>(PI()*(Pinus[[#This Row],[d_cm]]^2))/40000</f>
        <v>3.0325990234643121E-2</v>
      </c>
      <c r="F715" s="56">
        <f>Pinus[[#This Row],[gi_m²]]*Pinus[[#This Row],[h_m]]*0.45</f>
        <v>0.17153896376225883</v>
      </c>
    </row>
    <row r="716" spans="1:6" x14ac:dyDescent="0.3">
      <c r="A716" s="37">
        <v>8</v>
      </c>
      <c r="B716" s="37">
        <v>15</v>
      </c>
      <c r="C716" s="55">
        <v>25.77</v>
      </c>
      <c r="D716" s="55">
        <v>13.57</v>
      </c>
      <c r="E716" s="56">
        <f>(PI()*(Pinus[[#This Row],[d_cm]]^2))/40000</f>
        <v>5.2157734398528534E-2</v>
      </c>
      <c r="F716" s="56">
        <f>Pinus[[#This Row],[gi_m²]]*Pinus[[#This Row],[h_m]]*0.45</f>
        <v>0.31850120510461449</v>
      </c>
    </row>
    <row r="717" spans="1:6" x14ac:dyDescent="0.3">
      <c r="A717" s="37">
        <v>8</v>
      </c>
      <c r="B717" s="37">
        <v>16</v>
      </c>
      <c r="C717" s="55">
        <v>24.5</v>
      </c>
      <c r="D717" s="55">
        <v>13.38</v>
      </c>
      <c r="E717" s="56">
        <f>(PI()*(Pinus[[#This Row],[d_cm]]^2))/40000</f>
        <v>4.7143524757931835E-2</v>
      </c>
      <c r="F717" s="56">
        <f>Pinus[[#This Row],[gi_m²]]*Pinus[[#This Row],[h_m]]*0.45</f>
        <v>0.28385116256750764</v>
      </c>
    </row>
    <row r="718" spans="1:6" x14ac:dyDescent="0.3">
      <c r="A718" s="37">
        <v>8</v>
      </c>
      <c r="B718" s="37">
        <v>17</v>
      </c>
      <c r="C718" s="55">
        <v>23.34</v>
      </c>
      <c r="D718" s="55">
        <v>13.21</v>
      </c>
      <c r="E718" s="56">
        <f>(PI()*(Pinus[[#This Row],[d_cm]]^2))/40000</f>
        <v>4.2785004774047494E-2</v>
      </c>
      <c r="F718" s="56">
        <f>Pinus[[#This Row],[gi_m²]]*Pinus[[#This Row],[h_m]]*0.45</f>
        <v>0.25433546087932535</v>
      </c>
    </row>
    <row r="719" spans="1:6" x14ac:dyDescent="0.3">
      <c r="A719" s="37">
        <v>8</v>
      </c>
      <c r="B719" s="37">
        <v>18</v>
      </c>
      <c r="C719" s="55">
        <v>18.850000000000001</v>
      </c>
      <c r="D719" s="55">
        <v>12.42</v>
      </c>
      <c r="E719" s="56">
        <f>(PI()*(Pinus[[#This Row],[d_cm]]^2))/40000</f>
        <v>2.7906963891378984E-2</v>
      </c>
      <c r="F719" s="56">
        <f>Pinus[[#This Row],[gi_m²]]*Pinus[[#This Row],[h_m]]*0.45</f>
        <v>0.15597202118891715</v>
      </c>
    </row>
    <row r="720" spans="1:6" x14ac:dyDescent="0.3">
      <c r="A720" s="37">
        <v>8</v>
      </c>
      <c r="B720" s="37">
        <v>19</v>
      </c>
      <c r="C720" s="55">
        <v>21.49</v>
      </c>
      <c r="D720" s="55">
        <v>12.9</v>
      </c>
      <c r="E720" s="56">
        <f>(PI()*(Pinus[[#This Row],[d_cm]]^2))/40000</f>
        <v>3.6271265836002584E-2</v>
      </c>
      <c r="F720" s="56">
        <f>Pinus[[#This Row],[gi_m²]]*Pinus[[#This Row],[h_m]]*0.45</f>
        <v>0.21055469817799502</v>
      </c>
    </row>
    <row r="721" spans="1:6" x14ac:dyDescent="0.3">
      <c r="A721" s="37">
        <v>8</v>
      </c>
      <c r="B721" s="37">
        <v>20</v>
      </c>
      <c r="C721" s="55">
        <v>21.61</v>
      </c>
      <c r="D721" s="55">
        <v>12.92</v>
      </c>
      <c r="E721" s="56">
        <f>(PI()*(Pinus[[#This Row],[d_cm]]^2))/40000</f>
        <v>3.6677473766111753E-2</v>
      </c>
      <c r="F721" s="56">
        <f>Pinus[[#This Row],[gi_m²]]*Pinus[[#This Row],[h_m]]*0.45</f>
        <v>0.21324283247617373</v>
      </c>
    </row>
    <row r="722" spans="1:6" x14ac:dyDescent="0.3">
      <c r="A722" s="37">
        <v>8</v>
      </c>
      <c r="B722" s="37">
        <v>21</v>
      </c>
      <c r="C722" s="55">
        <v>15.83</v>
      </c>
      <c r="D722" s="55">
        <v>11.78</v>
      </c>
      <c r="E722" s="56">
        <f>(PI()*(Pinus[[#This Row],[d_cm]]^2))/40000</f>
        <v>1.9681206182778684E-2</v>
      </c>
      <c r="F722" s="56">
        <f>Pinus[[#This Row],[gi_m²]]*Pinus[[#This Row],[h_m]]*0.45</f>
        <v>0.1043300739749098</v>
      </c>
    </row>
    <row r="723" spans="1:6" x14ac:dyDescent="0.3">
      <c r="A723" s="37">
        <v>8</v>
      </c>
      <c r="B723" s="37">
        <v>22</v>
      </c>
      <c r="C723" s="55">
        <v>13.09</v>
      </c>
      <c r="D723" s="55">
        <v>11.07</v>
      </c>
      <c r="E723" s="56">
        <f>(PI()*(Pinus[[#This Row],[d_cm]]^2))/40000</f>
        <v>1.3457648304164229E-2</v>
      </c>
      <c r="F723" s="56">
        <f>Pinus[[#This Row],[gi_m²]]*Pinus[[#This Row],[h_m]]*0.45</f>
        <v>6.7039275027194103E-2</v>
      </c>
    </row>
    <row r="724" spans="1:6" x14ac:dyDescent="0.3">
      <c r="A724" s="37">
        <v>8</v>
      </c>
      <c r="B724" s="37">
        <v>23</v>
      </c>
      <c r="C724" s="55">
        <v>22.57</v>
      </c>
      <c r="D724" s="55">
        <v>13.08</v>
      </c>
      <c r="E724" s="56">
        <f>(PI()*(Pinus[[#This Row],[d_cm]]^2))/40000</f>
        <v>4.0008567288566083E-2</v>
      </c>
      <c r="F724" s="56">
        <f>Pinus[[#This Row],[gi_m²]]*Pinus[[#This Row],[h_m]]*0.45</f>
        <v>0.23549042706049994</v>
      </c>
    </row>
    <row r="725" spans="1:6" x14ac:dyDescent="0.3">
      <c r="A725" s="37">
        <v>8</v>
      </c>
      <c r="B725" s="37">
        <v>24</v>
      </c>
      <c r="C725" s="55">
        <v>13.88</v>
      </c>
      <c r="D725" s="55">
        <v>11.29</v>
      </c>
      <c r="E725" s="56">
        <f>(PI()*(Pinus[[#This Row],[d_cm]]^2))/40000</f>
        <v>1.5131041193043737E-2</v>
      </c>
      <c r="F725" s="56">
        <f>Pinus[[#This Row],[gi_m²]]*Pinus[[#This Row],[h_m]]*0.45</f>
        <v>7.6873254781258712E-2</v>
      </c>
    </row>
    <row r="726" spans="1:6" x14ac:dyDescent="0.3">
      <c r="A726" s="37">
        <v>8</v>
      </c>
      <c r="B726" s="37">
        <v>25</v>
      </c>
      <c r="C726" s="55">
        <v>20.010000000000002</v>
      </c>
      <c r="D726" s="55">
        <v>12.64</v>
      </c>
      <c r="E726" s="56">
        <f>(PI()*(Pinus[[#This Row],[d_cm]]^2))/40000</f>
        <v>3.1447350316415469E-2</v>
      </c>
      <c r="F726" s="56">
        <f>Pinus[[#This Row],[gi_m²]]*Pinus[[#This Row],[h_m]]*0.45</f>
        <v>0.17887252859977121</v>
      </c>
    </row>
    <row r="727" spans="1:6" x14ac:dyDescent="0.3">
      <c r="A727" s="37">
        <v>8</v>
      </c>
      <c r="B727" s="37">
        <v>26</v>
      </c>
      <c r="C727" s="55">
        <v>21</v>
      </c>
      <c r="D727" s="55">
        <v>12.82</v>
      </c>
      <c r="E727" s="56">
        <f>(PI()*(Pinus[[#This Row],[d_cm]]^2))/40000</f>
        <v>3.4636059005827467E-2</v>
      </c>
      <c r="F727" s="56">
        <f>Pinus[[#This Row],[gi_m²]]*Pinus[[#This Row],[h_m]]*0.45</f>
        <v>0.19981542440461869</v>
      </c>
    </row>
    <row r="728" spans="1:6" x14ac:dyDescent="0.3">
      <c r="A728" s="37">
        <v>8</v>
      </c>
      <c r="B728" s="37">
        <v>27</v>
      </c>
      <c r="C728" s="55">
        <v>22.26</v>
      </c>
      <c r="D728" s="55">
        <v>13.03</v>
      </c>
      <c r="E728" s="56">
        <f>(PI()*(Pinus[[#This Row],[d_cm]]^2))/40000</f>
        <v>3.8917075898947752E-2</v>
      </c>
      <c r="F728" s="56">
        <f>Pinus[[#This Row],[gi_m²]]*Pinus[[#This Row],[h_m]]*0.45</f>
        <v>0.22819027453348012</v>
      </c>
    </row>
    <row r="729" spans="1:6" x14ac:dyDescent="0.3">
      <c r="A729" s="37">
        <v>8</v>
      </c>
      <c r="B729" s="37">
        <v>28</v>
      </c>
      <c r="C729" s="55">
        <v>20.76</v>
      </c>
      <c r="D729" s="55">
        <v>12.77</v>
      </c>
      <c r="E729" s="56">
        <f>(PI()*(Pinus[[#This Row],[d_cm]]^2))/40000</f>
        <v>3.3848901550544014E-2</v>
      </c>
      <c r="F729" s="56">
        <f>Pinus[[#This Row],[gi_m²]]*Pinus[[#This Row],[h_m]]*0.45</f>
        <v>0.19451271276020118</v>
      </c>
    </row>
    <row r="730" spans="1:6" x14ac:dyDescent="0.3">
      <c r="A730" s="37">
        <v>8</v>
      </c>
      <c r="B730" s="37">
        <v>29</v>
      </c>
      <c r="C730" s="55">
        <v>17.07</v>
      </c>
      <c r="D730" s="55">
        <v>12.05</v>
      </c>
      <c r="E730" s="56">
        <f>(PI()*(Pinus[[#This Row],[d_cm]]^2))/40000</f>
        <v>2.2885316530174914E-2</v>
      </c>
      <c r="F730" s="56">
        <f>Pinus[[#This Row],[gi_m²]]*Pinus[[#This Row],[h_m]]*0.45</f>
        <v>0.12409562888487348</v>
      </c>
    </row>
    <row r="731" spans="1:6" x14ac:dyDescent="0.3">
      <c r="A731" s="37">
        <v>8</v>
      </c>
      <c r="B731" s="37">
        <v>30</v>
      </c>
      <c r="C731" s="55">
        <v>23.95</v>
      </c>
      <c r="D731" s="55">
        <v>13.3</v>
      </c>
      <c r="E731" s="56">
        <f>(PI()*(Pinus[[#This Row],[d_cm]]^2))/40000</f>
        <v>4.5050635002018481E-2</v>
      </c>
      <c r="F731" s="56">
        <f>Pinus[[#This Row],[gi_m²]]*Pinus[[#This Row],[h_m]]*0.45</f>
        <v>0.26962805048708061</v>
      </c>
    </row>
    <row r="732" spans="1:6" x14ac:dyDescent="0.3">
      <c r="A732" s="37">
        <v>8</v>
      </c>
      <c r="B732" s="37">
        <v>31</v>
      </c>
      <c r="C732" s="55">
        <v>26.95</v>
      </c>
      <c r="D732" s="55">
        <v>13.74</v>
      </c>
      <c r="E732" s="56">
        <f>(PI()*(Pinus[[#This Row],[d_cm]]^2))/40000</f>
        <v>5.704366495709752E-2</v>
      </c>
      <c r="F732" s="56">
        <f>Pinus[[#This Row],[gi_m²]]*Pinus[[#This Row],[h_m]]*0.45</f>
        <v>0.35270098042973397</v>
      </c>
    </row>
    <row r="733" spans="1:6" x14ac:dyDescent="0.3">
      <c r="A733" s="37">
        <v>8</v>
      </c>
      <c r="B733" s="37">
        <v>32</v>
      </c>
      <c r="C733" s="55">
        <v>23.52</v>
      </c>
      <c r="D733" s="55">
        <v>13.24</v>
      </c>
      <c r="E733" s="56">
        <f>(PI()*(Pinus[[#This Row],[d_cm]]^2))/40000</f>
        <v>4.3447472416909973E-2</v>
      </c>
      <c r="F733" s="56">
        <f>Pinus[[#This Row],[gi_m²]]*Pinus[[#This Row],[h_m]]*0.45</f>
        <v>0.25886004065994961</v>
      </c>
    </row>
    <row r="734" spans="1:6" x14ac:dyDescent="0.3">
      <c r="A734" s="37">
        <v>8</v>
      </c>
      <c r="B734" s="37">
        <v>33</v>
      </c>
      <c r="C734" s="55">
        <v>12.23</v>
      </c>
      <c r="D734" s="55">
        <v>10.82</v>
      </c>
      <c r="E734" s="56">
        <f>(PI()*(Pinus[[#This Row],[d_cm]]^2))/40000</f>
        <v>1.174742809540302E-2</v>
      </c>
      <c r="F734" s="56">
        <f>Pinus[[#This Row],[gi_m²]]*Pinus[[#This Row],[h_m]]*0.45</f>
        <v>5.7198227396517309E-2</v>
      </c>
    </row>
    <row r="735" spans="1:6" x14ac:dyDescent="0.3">
      <c r="A735" s="37">
        <v>8</v>
      </c>
      <c r="B735" s="37">
        <v>34</v>
      </c>
      <c r="C735" s="55">
        <v>25.6</v>
      </c>
      <c r="D735" s="55">
        <v>13.55</v>
      </c>
      <c r="E735" s="56">
        <f>(PI()*(Pinus[[#This Row],[d_cm]]^2))/40000</f>
        <v>5.1471854036415174E-2</v>
      </c>
      <c r="F735" s="56">
        <f>Pinus[[#This Row],[gi_m²]]*Pinus[[#This Row],[h_m]]*0.45</f>
        <v>0.31384962998704152</v>
      </c>
    </row>
    <row r="736" spans="1:6" x14ac:dyDescent="0.3">
      <c r="A736" s="37">
        <v>8</v>
      </c>
      <c r="B736" s="37">
        <v>35</v>
      </c>
      <c r="C736" s="55">
        <v>19.78</v>
      </c>
      <c r="D736" s="55">
        <v>12.6</v>
      </c>
      <c r="E736" s="56">
        <f>(PI()*(Pinus[[#This Row],[d_cm]]^2))/40000</f>
        <v>3.0728577479219026E-2</v>
      </c>
      <c r="F736" s="56">
        <f>Pinus[[#This Row],[gi_m²]]*Pinus[[#This Row],[h_m]]*0.45</f>
        <v>0.17423103430717188</v>
      </c>
    </row>
    <row r="737" spans="1:6" x14ac:dyDescent="0.3">
      <c r="A737" s="37">
        <v>8</v>
      </c>
      <c r="B737" s="37">
        <v>36</v>
      </c>
      <c r="C737" s="55">
        <v>22.1</v>
      </c>
      <c r="D737" s="55">
        <v>13</v>
      </c>
      <c r="E737" s="56">
        <f>(PI()*(Pinus[[#This Row],[d_cm]]^2))/40000</f>
        <v>3.8359631698494781E-2</v>
      </c>
      <c r="F737" s="56">
        <f>Pinus[[#This Row],[gi_m²]]*Pinus[[#This Row],[h_m]]*0.45</f>
        <v>0.22440384543619446</v>
      </c>
    </row>
    <row r="738" spans="1:6" x14ac:dyDescent="0.3">
      <c r="A738" s="37">
        <v>8</v>
      </c>
      <c r="B738" s="37">
        <v>37</v>
      </c>
      <c r="C738" s="55">
        <v>22.49</v>
      </c>
      <c r="D738" s="55">
        <v>13.07</v>
      </c>
      <c r="E738" s="56">
        <f>(PI()*(Pinus[[#This Row],[d_cm]]^2))/40000</f>
        <v>3.9725446958624566E-2</v>
      </c>
      <c r="F738" s="56">
        <f>Pinus[[#This Row],[gi_m²]]*Pinus[[#This Row],[h_m]]*0.45</f>
        <v>0.23364521628715038</v>
      </c>
    </row>
    <row r="739" spans="1:6" x14ac:dyDescent="0.3">
      <c r="A739" s="37">
        <v>8</v>
      </c>
      <c r="B739" s="37">
        <v>38</v>
      </c>
      <c r="C739" s="55">
        <v>19.61</v>
      </c>
      <c r="D739" s="55">
        <v>12.56</v>
      </c>
      <c r="E739" s="56">
        <f>(PI()*(Pinus[[#This Row],[d_cm]]^2))/40000</f>
        <v>3.0202651307063188E-2</v>
      </c>
      <c r="F739" s="56">
        <f>Pinus[[#This Row],[gi_m²]]*Pinus[[#This Row],[h_m]]*0.45</f>
        <v>0.17070538518752115</v>
      </c>
    </row>
    <row r="740" spans="1:6" x14ac:dyDescent="0.3">
      <c r="A740" s="37">
        <v>8</v>
      </c>
      <c r="B740" s="37">
        <v>39</v>
      </c>
      <c r="C740" s="55">
        <v>19.7</v>
      </c>
      <c r="D740" s="55">
        <v>12.58</v>
      </c>
      <c r="E740" s="56">
        <f>(PI()*(Pinus[[#This Row],[d_cm]]^2))/40000</f>
        <v>3.0480517323291569E-2</v>
      </c>
      <c r="F740" s="56">
        <f>Pinus[[#This Row],[gi_m²]]*Pinus[[#This Row],[h_m]]*0.45</f>
        <v>0.17255020856715356</v>
      </c>
    </row>
    <row r="741" spans="1:6" x14ac:dyDescent="0.3">
      <c r="A741" s="37">
        <v>8</v>
      </c>
      <c r="B741" s="37">
        <v>40</v>
      </c>
      <c r="C741" s="55">
        <v>24.08</v>
      </c>
      <c r="D741" s="55">
        <v>13.32</v>
      </c>
      <c r="E741" s="56">
        <f>(PI()*(Pinus[[#This Row],[d_cm]]^2))/40000</f>
        <v>4.5541029761262203E-2</v>
      </c>
      <c r="F741" s="56">
        <f>Pinus[[#This Row],[gi_m²]]*Pinus[[#This Row],[h_m]]*0.45</f>
        <v>0.27297293238900566</v>
      </c>
    </row>
    <row r="742" spans="1:6" x14ac:dyDescent="0.3">
      <c r="A742" s="37">
        <v>8</v>
      </c>
      <c r="B742" s="37">
        <v>41</v>
      </c>
      <c r="C742" s="55">
        <v>22.85</v>
      </c>
      <c r="D742" s="55">
        <v>13.13</v>
      </c>
      <c r="E742" s="56">
        <f>(PI()*(Pinus[[#This Row],[d_cm]]^2))/40000</f>
        <v>4.1007405256848428E-2</v>
      </c>
      <c r="F742" s="56">
        <f>Pinus[[#This Row],[gi_m²]]*Pinus[[#This Row],[h_m]]*0.45</f>
        <v>0.24229225396008894</v>
      </c>
    </row>
    <row r="743" spans="1:6" x14ac:dyDescent="0.3">
      <c r="A743" s="37">
        <v>8</v>
      </c>
      <c r="B743" s="37">
        <v>42</v>
      </c>
      <c r="C743" s="55">
        <v>23.96</v>
      </c>
      <c r="D743" s="55">
        <v>13.3</v>
      </c>
      <c r="E743" s="56">
        <f>(PI()*(Pinus[[#This Row],[d_cm]]^2))/40000</f>
        <v>4.508826342802686E-2</v>
      </c>
      <c r="F743" s="56">
        <f>Pinus[[#This Row],[gi_m²]]*Pinus[[#This Row],[h_m]]*0.45</f>
        <v>0.26985325661674081</v>
      </c>
    </row>
    <row r="744" spans="1:6" x14ac:dyDescent="0.3">
      <c r="A744" s="37">
        <v>8</v>
      </c>
      <c r="B744" s="37">
        <v>43</v>
      </c>
      <c r="C744" s="55">
        <v>29.53</v>
      </c>
      <c r="D744" s="55">
        <v>14.07</v>
      </c>
      <c r="E744" s="56">
        <f>(PI()*(Pinus[[#This Row],[d_cm]]^2))/40000</f>
        <v>6.8488361330418995E-2</v>
      </c>
      <c r="F744" s="56">
        <f>Pinus[[#This Row],[gi_m²]]*Pinus[[#This Row],[h_m]]*0.45</f>
        <v>0.43363405976354785</v>
      </c>
    </row>
    <row r="745" spans="1:6" x14ac:dyDescent="0.3">
      <c r="A745" s="37">
        <v>8</v>
      </c>
      <c r="B745" s="37">
        <v>44</v>
      </c>
      <c r="C745" s="55">
        <v>22.66</v>
      </c>
      <c r="D745" s="55">
        <v>13.1</v>
      </c>
      <c r="E745" s="56">
        <f>(PI()*(Pinus[[#This Row],[d_cm]]^2))/40000</f>
        <v>4.0328279318940279E-2</v>
      </c>
      <c r="F745" s="56">
        <f>Pinus[[#This Row],[gi_m²]]*Pinus[[#This Row],[h_m]]*0.45</f>
        <v>0.23773520658515293</v>
      </c>
    </row>
    <row r="746" spans="1:6" x14ac:dyDescent="0.3">
      <c r="A746" s="37">
        <v>8</v>
      </c>
      <c r="B746" s="37">
        <v>45</v>
      </c>
      <c r="C746" s="55">
        <v>20.83</v>
      </c>
      <c r="D746" s="55">
        <v>12.79</v>
      </c>
      <c r="E746" s="56">
        <f>(PI()*(Pinus[[#This Row],[d_cm]]^2))/40000</f>
        <v>3.4077554517853909E-2</v>
      </c>
      <c r="F746" s="56">
        <f>Pinus[[#This Row],[gi_m²]]*Pinus[[#This Row],[h_m]]*0.45</f>
        <v>0.19613336502750817</v>
      </c>
    </row>
    <row r="747" spans="1:6" x14ac:dyDescent="0.3">
      <c r="A747" s="37">
        <v>8</v>
      </c>
      <c r="B747" s="37">
        <v>46</v>
      </c>
      <c r="C747" s="55">
        <v>11.16</v>
      </c>
      <c r="D747" s="55">
        <v>10.49</v>
      </c>
      <c r="E747" s="56">
        <f>(PI()*(Pinus[[#This Row],[d_cm]]^2))/40000</f>
        <v>9.7817885499233235E-3</v>
      </c>
      <c r="F747" s="56">
        <f>Pinus[[#This Row],[gi_m²]]*Pinus[[#This Row],[h_m]]*0.45</f>
        <v>4.6174932849913045E-2</v>
      </c>
    </row>
    <row r="748" spans="1:6" x14ac:dyDescent="0.3">
      <c r="A748" s="37">
        <v>8</v>
      </c>
      <c r="B748" s="37">
        <v>47</v>
      </c>
      <c r="C748" s="55">
        <v>30.77</v>
      </c>
      <c r="D748" s="55">
        <v>14.22</v>
      </c>
      <c r="E748" s="56">
        <f>(PI()*(Pinus[[#This Row],[d_cm]]^2))/40000</f>
        <v>7.436094047777439E-2</v>
      </c>
      <c r="F748" s="56">
        <f>Pinus[[#This Row],[gi_m²]]*Pinus[[#This Row],[h_m]]*0.45</f>
        <v>0.47583565811727835</v>
      </c>
    </row>
    <row r="749" spans="1:6" x14ac:dyDescent="0.3">
      <c r="A749" s="37">
        <v>8</v>
      </c>
      <c r="B749" s="37">
        <v>48</v>
      </c>
      <c r="C749" s="55">
        <v>18.07</v>
      </c>
      <c r="D749" s="55">
        <v>12.26</v>
      </c>
      <c r="E749" s="56">
        <f>(PI()*(Pinus[[#This Row],[d_cm]]^2))/40000</f>
        <v>2.5645205676353543E-2</v>
      </c>
      <c r="F749" s="56">
        <f>Pinus[[#This Row],[gi_m²]]*Pinus[[#This Row],[h_m]]*0.45</f>
        <v>0.14148459971644251</v>
      </c>
    </row>
    <row r="750" spans="1:6" x14ac:dyDescent="0.3">
      <c r="A750" s="37">
        <v>8</v>
      </c>
      <c r="B750" s="37">
        <v>49</v>
      </c>
      <c r="C750" s="55">
        <v>29.5</v>
      </c>
      <c r="D750" s="55">
        <v>14.07</v>
      </c>
      <c r="E750" s="56">
        <f>(PI()*(Pinus[[#This Row],[d_cm]]^2))/40000</f>
        <v>6.8349275169662937E-2</v>
      </c>
      <c r="F750" s="56">
        <f>Pinus[[#This Row],[gi_m²]]*Pinus[[#This Row],[h_m]]*0.45</f>
        <v>0.43275343573672087</v>
      </c>
    </row>
    <row r="751" spans="1:6" x14ac:dyDescent="0.3">
      <c r="A751" s="37">
        <v>8</v>
      </c>
      <c r="B751" s="37">
        <v>50</v>
      </c>
      <c r="C751" s="55">
        <v>21.5</v>
      </c>
      <c r="D751" s="55">
        <v>12.9</v>
      </c>
      <c r="E751" s="56">
        <f>(PI()*(Pinus[[#This Row],[d_cm]]^2))/40000</f>
        <v>3.6305030103047045E-2</v>
      </c>
      <c r="F751" s="56">
        <f>Pinus[[#This Row],[gi_m²]]*Pinus[[#This Row],[h_m]]*0.45</f>
        <v>0.21075069974818811</v>
      </c>
    </row>
    <row r="752" spans="1:6" x14ac:dyDescent="0.3">
      <c r="A752" s="37">
        <v>8</v>
      </c>
      <c r="B752" s="37">
        <v>51</v>
      </c>
      <c r="C752" s="55">
        <v>26.15</v>
      </c>
      <c r="D752" s="55">
        <v>13.63</v>
      </c>
      <c r="E752" s="56">
        <f>(PI()*(Pinus[[#This Row],[d_cm]]^2))/40000</f>
        <v>5.3707293558985146E-2</v>
      </c>
      <c r="F752" s="56">
        <f>Pinus[[#This Row],[gi_m²]]*Pinus[[#This Row],[h_m]]*0.45</f>
        <v>0.32941368504403545</v>
      </c>
    </row>
    <row r="753" spans="1:6" x14ac:dyDescent="0.3">
      <c r="A753" s="37">
        <v>8</v>
      </c>
      <c r="B753" s="37">
        <v>52</v>
      </c>
      <c r="C753" s="55">
        <v>19.559999999999999</v>
      </c>
      <c r="D753" s="55">
        <v>12.56</v>
      </c>
      <c r="E753" s="56">
        <f>(PI()*(Pinus[[#This Row],[d_cm]]^2))/40000</f>
        <v>3.0048831076761793E-2</v>
      </c>
      <c r="F753" s="56">
        <f>Pinus[[#This Row],[gi_m²]]*Pinus[[#This Row],[h_m]]*0.45</f>
        <v>0.16983599324585766</v>
      </c>
    </row>
    <row r="754" spans="1:6" x14ac:dyDescent="0.3">
      <c r="A754" s="37">
        <v>8</v>
      </c>
      <c r="B754" s="37">
        <v>53</v>
      </c>
      <c r="C754" s="55">
        <v>22.05</v>
      </c>
      <c r="D754" s="55">
        <v>13</v>
      </c>
      <c r="E754" s="56">
        <f>(PI()*(Pinus[[#This Row],[d_cm]]^2))/40000</f>
        <v>3.8186255053924791E-2</v>
      </c>
      <c r="F754" s="56">
        <f>Pinus[[#This Row],[gi_m²]]*Pinus[[#This Row],[h_m]]*0.45</f>
        <v>0.22338959206546002</v>
      </c>
    </row>
    <row r="755" spans="1:6" x14ac:dyDescent="0.3">
      <c r="A755" s="37">
        <v>8</v>
      </c>
      <c r="B755" s="37">
        <v>54</v>
      </c>
      <c r="C755" s="55">
        <v>20.86</v>
      </c>
      <c r="D755" s="55">
        <v>12.79</v>
      </c>
      <c r="E755" s="56">
        <f>(PI()*(Pinus[[#This Row],[d_cm]]^2))/40000</f>
        <v>3.4175784266150026E-2</v>
      </c>
      <c r="F755" s="56">
        <f>Pinus[[#This Row],[gi_m²]]*Pinus[[#This Row],[h_m]]*0.45</f>
        <v>0.19669872634382649</v>
      </c>
    </row>
    <row r="756" spans="1:6" x14ac:dyDescent="0.3">
      <c r="A756" s="37">
        <v>8</v>
      </c>
      <c r="B756" s="37">
        <v>55</v>
      </c>
      <c r="C756" s="55">
        <v>19.260000000000002</v>
      </c>
      <c r="D756" s="55">
        <v>12.5</v>
      </c>
      <c r="E756" s="56">
        <f>(PI()*(Pinus[[#This Row],[d_cm]]^2))/40000</f>
        <v>2.9134156375669136E-2</v>
      </c>
      <c r="F756" s="56">
        <f>Pinus[[#This Row],[gi_m²]]*Pinus[[#This Row],[h_m]]*0.45</f>
        <v>0.1638796296131389</v>
      </c>
    </row>
    <row r="757" spans="1:6" x14ac:dyDescent="0.3">
      <c r="A757" s="37">
        <v>8</v>
      </c>
      <c r="B757" s="37">
        <v>56</v>
      </c>
      <c r="C757" s="55">
        <v>19.52</v>
      </c>
      <c r="D757" s="55">
        <v>12.55</v>
      </c>
      <c r="E757" s="56">
        <f>(PI()*(Pinus[[#This Row],[d_cm]]^2))/40000</f>
        <v>2.9926057635859506E-2</v>
      </c>
      <c r="F757" s="56">
        <f>Pinus[[#This Row],[gi_m²]]*Pinus[[#This Row],[h_m]]*0.45</f>
        <v>0.16900741049851656</v>
      </c>
    </row>
    <row r="758" spans="1:6" x14ac:dyDescent="0.3">
      <c r="A758" s="37">
        <v>8</v>
      </c>
      <c r="B758" s="37">
        <v>57</v>
      </c>
      <c r="C758" s="55">
        <v>24.05</v>
      </c>
      <c r="D758" s="55">
        <v>13.32</v>
      </c>
      <c r="E758" s="56">
        <f>(PI()*(Pinus[[#This Row],[d_cm]]^2))/40000</f>
        <v>4.542762612044926E-2</v>
      </c>
      <c r="F758" s="56">
        <f>Pinus[[#This Row],[gi_m²]]*Pinus[[#This Row],[h_m]]*0.45</f>
        <v>0.27229319096597288</v>
      </c>
    </row>
    <row r="759" spans="1:6" x14ac:dyDescent="0.3">
      <c r="A759" s="37">
        <v>8</v>
      </c>
      <c r="B759" s="37">
        <v>58</v>
      </c>
      <c r="C759" s="55">
        <v>19.190000000000001</v>
      </c>
      <c r="D759" s="55">
        <v>12.49</v>
      </c>
      <c r="E759" s="56">
        <f>(PI()*(Pinus[[#This Row],[d_cm]]^2))/40000</f>
        <v>2.8922766459990708E-2</v>
      </c>
      <c r="F759" s="56">
        <f>Pinus[[#This Row],[gi_m²]]*Pinus[[#This Row],[h_m]]*0.45</f>
        <v>0.16256040888837778</v>
      </c>
    </row>
    <row r="760" spans="1:6" x14ac:dyDescent="0.3">
      <c r="A760" s="37">
        <v>8</v>
      </c>
      <c r="B760" s="37">
        <v>59</v>
      </c>
      <c r="C760" s="55">
        <v>11.85</v>
      </c>
      <c r="D760" s="55">
        <v>10.71</v>
      </c>
      <c r="E760" s="56">
        <f>(PI()*(Pinus[[#This Row],[d_cm]]^2))/40000</f>
        <v>1.1028757359967816E-2</v>
      </c>
      <c r="F760" s="56">
        <f>Pinus[[#This Row],[gi_m²]]*Pinus[[#This Row],[h_m]]*0.45</f>
        <v>5.3153096096364892E-2</v>
      </c>
    </row>
    <row r="761" spans="1:6" x14ac:dyDescent="0.3">
      <c r="A761" s="37">
        <v>8</v>
      </c>
      <c r="B761" s="37">
        <v>60</v>
      </c>
      <c r="C761" s="55">
        <v>19.22</v>
      </c>
      <c r="D761" s="55">
        <v>12.49</v>
      </c>
      <c r="E761" s="56">
        <f>(PI()*(Pinus[[#This Row],[d_cm]]^2))/40000</f>
        <v>2.901326789035899E-2</v>
      </c>
      <c r="F761" s="56">
        <f>Pinus[[#This Row],[gi_m²]]*Pinus[[#This Row],[h_m]]*0.45</f>
        <v>0.16306907217776273</v>
      </c>
    </row>
    <row r="762" spans="1:6" x14ac:dyDescent="0.3">
      <c r="A762" s="37">
        <v>8</v>
      </c>
      <c r="B762" s="37">
        <v>61</v>
      </c>
      <c r="C762" s="55">
        <v>22.16</v>
      </c>
      <c r="D762" s="55">
        <v>13.01</v>
      </c>
      <c r="E762" s="56">
        <f>(PI()*(Pinus[[#This Row],[d_cm]]^2))/40000</f>
        <v>3.8568202034766595E-2</v>
      </c>
      <c r="F762" s="56">
        <f>Pinus[[#This Row],[gi_m²]]*Pinus[[#This Row],[h_m]]*0.45</f>
        <v>0.22579753881254103</v>
      </c>
    </row>
    <row r="763" spans="1:6" x14ac:dyDescent="0.3">
      <c r="A763" s="37">
        <v>8</v>
      </c>
      <c r="B763" s="37">
        <v>62</v>
      </c>
      <c r="C763" s="55">
        <v>22.47</v>
      </c>
      <c r="D763" s="55">
        <v>13.07</v>
      </c>
      <c r="E763" s="56">
        <f>(PI()*(Pinus[[#This Row],[d_cm]]^2))/40000</f>
        <v>3.9654823955771863E-2</v>
      </c>
      <c r="F763" s="56">
        <f>Pinus[[#This Row],[gi_m²]]*Pinus[[#This Row],[h_m]]*0.45</f>
        <v>0.23322984709587222</v>
      </c>
    </row>
    <row r="764" spans="1:6" x14ac:dyDescent="0.3">
      <c r="A764" s="37">
        <v>8</v>
      </c>
      <c r="B764" s="37">
        <v>63</v>
      </c>
      <c r="C764" s="55">
        <v>22.47</v>
      </c>
      <c r="D764" s="55">
        <v>13.07</v>
      </c>
      <c r="E764" s="56">
        <f>(PI()*(Pinus[[#This Row],[d_cm]]^2))/40000</f>
        <v>3.9654823955771863E-2</v>
      </c>
      <c r="F764" s="56">
        <f>Pinus[[#This Row],[gi_m²]]*Pinus[[#This Row],[h_m]]*0.45</f>
        <v>0.23322984709587222</v>
      </c>
    </row>
    <row r="765" spans="1:6" x14ac:dyDescent="0.3">
      <c r="A765" s="37">
        <v>8</v>
      </c>
      <c r="B765" s="37">
        <v>64</v>
      </c>
      <c r="C765" s="55">
        <v>13.23</v>
      </c>
      <c r="D765" s="55">
        <v>11.11</v>
      </c>
      <c r="E765" s="56">
        <f>(PI()*(Pinus[[#This Row],[d_cm]]^2))/40000</f>
        <v>1.3747051819412923E-2</v>
      </c>
      <c r="F765" s="56">
        <f>Pinus[[#This Row],[gi_m²]]*Pinus[[#This Row],[h_m]]*0.45</f>
        <v>6.8728385571154904E-2</v>
      </c>
    </row>
    <row r="766" spans="1:6" x14ac:dyDescent="0.3">
      <c r="A766" s="37">
        <v>8</v>
      </c>
      <c r="B766" s="37">
        <v>65</v>
      </c>
      <c r="C766" s="55">
        <v>21.47</v>
      </c>
      <c r="D766" s="55">
        <v>12.9</v>
      </c>
      <c r="E766" s="56">
        <f>(PI()*(Pinus[[#This Row],[d_cm]]^2))/40000</f>
        <v>3.6203784425803472E-2</v>
      </c>
      <c r="F766" s="56">
        <f>Pinus[[#This Row],[gi_m²]]*Pinus[[#This Row],[h_m]]*0.45</f>
        <v>0.21016296859178918</v>
      </c>
    </row>
    <row r="767" spans="1:6" x14ac:dyDescent="0.3">
      <c r="A767" s="37">
        <v>8</v>
      </c>
      <c r="B767" s="37">
        <v>66</v>
      </c>
      <c r="C767" s="55">
        <v>23.87</v>
      </c>
      <c r="D767" s="55">
        <v>13.29</v>
      </c>
      <c r="E767" s="56">
        <f>(PI()*(Pinus[[#This Row],[d_cm]]^2))/40000</f>
        <v>4.475017308062916E-2</v>
      </c>
      <c r="F767" s="56">
        <f>Pinus[[#This Row],[gi_m²]]*Pinus[[#This Row],[h_m]]*0.45</f>
        <v>0.2676284101087027</v>
      </c>
    </row>
    <row r="768" spans="1:6" x14ac:dyDescent="0.3">
      <c r="A768" s="37">
        <v>8</v>
      </c>
      <c r="B768" s="37">
        <v>67</v>
      </c>
      <c r="C768" s="55">
        <v>25.11</v>
      </c>
      <c r="D768" s="55">
        <v>13.47</v>
      </c>
      <c r="E768" s="56">
        <f>(PI()*(Pinus[[#This Row],[d_cm]]^2))/40000</f>
        <v>4.9520304533986821E-2</v>
      </c>
      <c r="F768" s="56">
        <f>Pinus[[#This Row],[gi_m²]]*Pinus[[#This Row],[h_m]]*0.45</f>
        <v>0.30016732593276113</v>
      </c>
    </row>
    <row r="769" spans="1:6" x14ac:dyDescent="0.3">
      <c r="A769" s="37">
        <v>8</v>
      </c>
      <c r="B769" s="37">
        <v>68</v>
      </c>
      <c r="C769" s="55">
        <v>19.100000000000001</v>
      </c>
      <c r="D769" s="55">
        <v>12.47</v>
      </c>
      <c r="E769" s="56">
        <f>(PI()*(Pinus[[#This Row],[d_cm]]^2))/40000</f>
        <v>2.8652110398902319E-2</v>
      </c>
      <c r="F769" s="56">
        <f>Pinus[[#This Row],[gi_m²]]*Pinus[[#This Row],[h_m]]*0.45</f>
        <v>0.16078131750344038</v>
      </c>
    </row>
    <row r="770" spans="1:6" x14ac:dyDescent="0.3">
      <c r="A770" s="37">
        <v>8</v>
      </c>
      <c r="B770" s="37">
        <v>69</v>
      </c>
      <c r="C770" s="55">
        <v>18.71</v>
      </c>
      <c r="D770" s="55">
        <v>12.39</v>
      </c>
      <c r="E770" s="56">
        <f>(PI()*(Pinus[[#This Row],[d_cm]]^2))/40000</f>
        <v>2.7493970121138075E-2</v>
      </c>
      <c r="F770" s="56">
        <f>Pinus[[#This Row],[gi_m²]]*Pinus[[#This Row],[h_m]]*0.45</f>
        <v>0.15329263041040536</v>
      </c>
    </row>
    <row r="771" spans="1:6" x14ac:dyDescent="0.3">
      <c r="A771" s="37">
        <v>8</v>
      </c>
      <c r="B771" s="37">
        <v>70</v>
      </c>
      <c r="C771" s="55">
        <v>25.95</v>
      </c>
      <c r="D771" s="55">
        <v>13.6</v>
      </c>
      <c r="E771" s="56">
        <f>(PI()*(Pinus[[#This Row],[d_cm]]^2))/40000</f>
        <v>5.2888908672725006E-2</v>
      </c>
      <c r="F771" s="56">
        <f>Pinus[[#This Row],[gi_m²]]*Pinus[[#This Row],[h_m]]*0.45</f>
        <v>0.323680121077077</v>
      </c>
    </row>
    <row r="772" spans="1:6" x14ac:dyDescent="0.3">
      <c r="A772" s="37">
        <v>8</v>
      </c>
      <c r="B772" s="37">
        <v>71</v>
      </c>
      <c r="C772" s="55">
        <v>13.33</v>
      </c>
      <c r="D772" s="55">
        <v>11.14</v>
      </c>
      <c r="E772" s="56">
        <f>(PI()*(Pinus[[#This Row],[d_cm]]^2))/40000</f>
        <v>1.3955653571611285E-2</v>
      </c>
      <c r="F772" s="56">
        <f>Pinus[[#This Row],[gi_m²]]*Pinus[[#This Row],[h_m]]*0.45</f>
        <v>6.9959691354487374E-2</v>
      </c>
    </row>
    <row r="773" spans="1:6" x14ac:dyDescent="0.3">
      <c r="A773" s="37">
        <v>8</v>
      </c>
      <c r="B773" s="37">
        <v>72</v>
      </c>
      <c r="C773" s="55">
        <v>18.25</v>
      </c>
      <c r="D773" s="55">
        <v>12.3</v>
      </c>
      <c r="E773" s="56">
        <f>(PI()*(Pinus[[#This Row],[d_cm]]^2))/40000</f>
        <v>2.6158667579656264E-2</v>
      </c>
      <c r="F773" s="56">
        <f>Pinus[[#This Row],[gi_m²]]*Pinus[[#This Row],[h_m]]*0.45</f>
        <v>0.14478822505339745</v>
      </c>
    </row>
    <row r="774" spans="1:6" x14ac:dyDescent="0.3">
      <c r="A774" s="37">
        <v>8</v>
      </c>
      <c r="B774" s="37">
        <v>73</v>
      </c>
      <c r="C774" s="55">
        <v>21.83</v>
      </c>
      <c r="D774" s="55">
        <v>12.96</v>
      </c>
      <c r="E774" s="56">
        <f>(PI()*(Pinus[[#This Row],[d_cm]]^2))/40000</f>
        <v>3.7428063082907422E-2</v>
      </c>
      <c r="F774" s="56">
        <f>Pinus[[#This Row],[gi_m²]]*Pinus[[#This Row],[h_m]]*0.45</f>
        <v>0.21828046389951611</v>
      </c>
    </row>
    <row r="775" spans="1:6" x14ac:dyDescent="0.3">
      <c r="A775" s="37">
        <v>8</v>
      </c>
      <c r="B775" s="37">
        <v>74</v>
      </c>
      <c r="C775" s="55">
        <v>13.53</v>
      </c>
      <c r="D775" s="55">
        <v>11.2</v>
      </c>
      <c r="E775" s="56">
        <f>(PI()*(Pinus[[#This Row],[d_cm]]^2))/40000</f>
        <v>1.4377569464988391E-2</v>
      </c>
      <c r="F775" s="56">
        <f>Pinus[[#This Row],[gi_m²]]*Pinus[[#This Row],[h_m]]*0.45</f>
        <v>7.2462950103541493E-2</v>
      </c>
    </row>
    <row r="776" spans="1:6" x14ac:dyDescent="0.3">
      <c r="A776" s="37">
        <v>8</v>
      </c>
      <c r="B776" s="37">
        <v>75</v>
      </c>
      <c r="C776" s="55">
        <v>21.12</v>
      </c>
      <c r="D776" s="55">
        <v>12.84</v>
      </c>
      <c r="E776" s="56">
        <f>(PI()*(Pinus[[#This Row],[d_cm]]^2))/40000</f>
        <v>3.503303065353508E-2</v>
      </c>
      <c r="F776" s="56">
        <f>Pinus[[#This Row],[gi_m²]]*Pinus[[#This Row],[h_m]]*0.45</f>
        <v>0.20242085111612568</v>
      </c>
    </row>
    <row r="777" spans="1:6" x14ac:dyDescent="0.3">
      <c r="A777" s="37">
        <v>8</v>
      </c>
      <c r="B777" s="37">
        <v>76</v>
      </c>
      <c r="C777" s="55">
        <v>27.51</v>
      </c>
      <c r="D777" s="55">
        <v>13.81</v>
      </c>
      <c r="E777" s="56">
        <f>(PI()*(Pinus[[#This Row],[d_cm]]^2))/40000</f>
        <v>5.9438940859900528E-2</v>
      </c>
      <c r="F777" s="56">
        <f>Pinus[[#This Row],[gi_m²]]*Pinus[[#This Row],[h_m]]*0.45</f>
        <v>0.36938329797385183</v>
      </c>
    </row>
    <row r="778" spans="1:6" x14ac:dyDescent="0.3">
      <c r="A778" s="37">
        <v>8</v>
      </c>
      <c r="B778" s="37">
        <v>77</v>
      </c>
      <c r="C778" s="55">
        <v>19.98</v>
      </c>
      <c r="D778" s="55">
        <v>12.63</v>
      </c>
      <c r="E778" s="56">
        <f>(PI()*(Pinus[[#This Row],[d_cm]]^2))/40000</f>
        <v>3.1353126098752668E-2</v>
      </c>
      <c r="F778" s="56">
        <f>Pinus[[#This Row],[gi_m²]]*Pinus[[#This Row],[h_m]]*0.45</f>
        <v>0.1781954921822608</v>
      </c>
    </row>
    <row r="779" spans="1:6" x14ac:dyDescent="0.3">
      <c r="A779" s="37">
        <v>8</v>
      </c>
      <c r="B779" s="37">
        <v>78</v>
      </c>
      <c r="C779" s="55">
        <v>18.89</v>
      </c>
      <c r="D779" s="55">
        <v>12.43</v>
      </c>
      <c r="E779" s="56">
        <f>(PI()*(Pinus[[#This Row],[d_cm]]^2))/40000</f>
        <v>2.802552759812546E-2</v>
      </c>
      <c r="F779" s="56">
        <f>Pinus[[#This Row],[gi_m²]]*Pinus[[#This Row],[h_m]]*0.45</f>
        <v>0.15676078862011475</v>
      </c>
    </row>
    <row r="780" spans="1:6" x14ac:dyDescent="0.3">
      <c r="A780" s="37">
        <v>8</v>
      </c>
      <c r="B780" s="37">
        <v>79</v>
      </c>
      <c r="C780" s="55">
        <v>21.9</v>
      </c>
      <c r="D780" s="55">
        <v>12.97</v>
      </c>
      <c r="E780" s="56">
        <f>(PI()*(Pinus[[#This Row],[d_cm]]^2))/40000</f>
        <v>3.7668481314705016E-2</v>
      </c>
      <c r="F780" s="56">
        <f>Pinus[[#This Row],[gi_m²]]*Pinus[[#This Row],[h_m]]*0.45</f>
        <v>0.21985209119327584</v>
      </c>
    </row>
    <row r="781" spans="1:6" x14ac:dyDescent="0.3">
      <c r="A781" s="37">
        <v>8</v>
      </c>
      <c r="B781" s="37">
        <v>80</v>
      </c>
      <c r="C781" s="55">
        <v>18.88</v>
      </c>
      <c r="D781" s="55">
        <v>12.43</v>
      </c>
      <c r="E781" s="56">
        <f>(PI()*(Pinus[[#This Row],[d_cm]]^2))/40000</f>
        <v>2.7995863109493934E-2</v>
      </c>
      <c r="F781" s="56">
        <f>Pinus[[#This Row],[gi_m²]]*Pinus[[#This Row],[h_m]]*0.45</f>
        <v>0.15659486030295433</v>
      </c>
    </row>
    <row r="782" spans="1:6" x14ac:dyDescent="0.3">
      <c r="A782" s="37">
        <v>8</v>
      </c>
      <c r="B782" s="37">
        <v>81</v>
      </c>
      <c r="C782" s="55">
        <v>23.25</v>
      </c>
      <c r="D782" s="55">
        <v>13.19</v>
      </c>
      <c r="E782" s="56">
        <f>(PI()*(Pinus[[#This Row],[d_cm]]^2))/40000</f>
        <v>4.2455679470153315E-2</v>
      </c>
      <c r="F782" s="56">
        <f>Pinus[[#This Row],[gi_m²]]*Pinus[[#This Row],[h_m]]*0.45</f>
        <v>0.25199568549509499</v>
      </c>
    </row>
    <row r="783" spans="1:6" x14ac:dyDescent="0.3">
      <c r="A783" s="37">
        <v>8</v>
      </c>
      <c r="B783" s="37">
        <v>82</v>
      </c>
      <c r="C783" s="55">
        <v>23.62</v>
      </c>
      <c r="D783" s="55">
        <v>13.25</v>
      </c>
      <c r="E783" s="56">
        <f>(PI()*(Pinus[[#This Row],[d_cm]]^2))/40000</f>
        <v>4.3817709111135535E-2</v>
      </c>
      <c r="F783" s="56">
        <f>Pinus[[#This Row],[gi_m²]]*Pinus[[#This Row],[h_m]]*0.45</f>
        <v>0.26126309057514563</v>
      </c>
    </row>
    <row r="784" spans="1:6" x14ac:dyDescent="0.3">
      <c r="A784" s="37">
        <v>8</v>
      </c>
      <c r="B784" s="37">
        <v>83</v>
      </c>
      <c r="C784" s="55">
        <v>20.010000000000002</v>
      </c>
      <c r="D784" s="55">
        <v>12.64</v>
      </c>
      <c r="E784" s="56">
        <f>(PI()*(Pinus[[#This Row],[d_cm]]^2))/40000</f>
        <v>3.1447350316415469E-2</v>
      </c>
      <c r="F784" s="56">
        <f>Pinus[[#This Row],[gi_m²]]*Pinus[[#This Row],[h_m]]*0.45</f>
        <v>0.17887252859977121</v>
      </c>
    </row>
    <row r="785" spans="1:6" x14ac:dyDescent="0.3">
      <c r="A785" s="37">
        <v>8</v>
      </c>
      <c r="B785" s="37">
        <v>84</v>
      </c>
      <c r="C785" s="55">
        <v>15.29</v>
      </c>
      <c r="D785" s="55">
        <v>11.65</v>
      </c>
      <c r="E785" s="56">
        <f>(PI()*(Pinus[[#This Row],[d_cm]]^2))/40000</f>
        <v>1.8361360277152537E-2</v>
      </c>
      <c r="F785" s="56">
        <f>Pinus[[#This Row],[gi_m²]]*Pinus[[#This Row],[h_m]]*0.45</f>
        <v>9.6259431252972177E-2</v>
      </c>
    </row>
    <row r="786" spans="1:6" x14ac:dyDescent="0.3">
      <c r="A786" s="37">
        <v>8</v>
      </c>
      <c r="B786" s="37">
        <v>85</v>
      </c>
      <c r="C786" s="55">
        <v>14.73</v>
      </c>
      <c r="D786" s="55">
        <v>11.51</v>
      </c>
      <c r="E786" s="56">
        <f>(PI()*(Pinus[[#This Row],[d_cm]]^2))/40000</f>
        <v>1.7041011716701821E-2</v>
      </c>
      <c r="F786" s="56">
        <f>Pinus[[#This Row],[gi_m²]]*Pinus[[#This Row],[h_m]]*0.45</f>
        <v>8.8263920186657074E-2</v>
      </c>
    </row>
    <row r="787" spans="1:6" x14ac:dyDescent="0.3">
      <c r="A787" s="37">
        <v>8</v>
      </c>
      <c r="B787" s="37">
        <v>86</v>
      </c>
      <c r="C787" s="55">
        <v>17.63</v>
      </c>
      <c r="D787" s="55">
        <v>12.17</v>
      </c>
      <c r="E787" s="56">
        <f>(PI()*(Pinus[[#This Row],[d_cm]]^2))/40000</f>
        <v>2.4411502241288831E-2</v>
      </c>
      <c r="F787" s="56">
        <f>Pinus[[#This Row],[gi_m²]]*Pinus[[#This Row],[h_m]]*0.45</f>
        <v>0.1336895920244183</v>
      </c>
    </row>
    <row r="788" spans="1:6" x14ac:dyDescent="0.3">
      <c r="A788" s="37">
        <v>8</v>
      </c>
      <c r="B788" s="37">
        <v>87</v>
      </c>
      <c r="C788" s="55">
        <v>23.19</v>
      </c>
      <c r="D788" s="55">
        <v>13.18</v>
      </c>
      <c r="E788" s="56">
        <f>(PI()*(Pinus[[#This Row],[d_cm]]^2))/40000</f>
        <v>4.2236836125904252E-2</v>
      </c>
      <c r="F788" s="56">
        <f>Pinus[[#This Row],[gi_m²]]*Pinus[[#This Row],[h_m]]*0.45</f>
        <v>0.25050667506273816</v>
      </c>
    </row>
    <row r="789" spans="1:6" x14ac:dyDescent="0.3">
      <c r="A789" s="37">
        <v>8</v>
      </c>
      <c r="B789" s="37">
        <v>88</v>
      </c>
      <c r="C789" s="55">
        <v>12.17</v>
      </c>
      <c r="D789" s="55">
        <v>10.81</v>
      </c>
      <c r="E789" s="56">
        <f>(PI()*(Pinus[[#This Row],[d_cm]]^2))/40000</f>
        <v>1.1632445804281633E-2</v>
      </c>
      <c r="F789" s="56">
        <f>Pinus[[#This Row],[gi_m²]]*Pinus[[#This Row],[h_m]]*0.45</f>
        <v>5.6586032614927999E-2</v>
      </c>
    </row>
    <row r="790" spans="1:6" x14ac:dyDescent="0.3">
      <c r="A790" s="37">
        <v>8</v>
      </c>
      <c r="B790" s="37">
        <v>89</v>
      </c>
      <c r="C790" s="55">
        <v>12.45</v>
      </c>
      <c r="D790" s="55">
        <v>10.89</v>
      </c>
      <c r="E790" s="56">
        <f>(PI()*(Pinus[[#This Row],[d_cm]]^2))/40000</f>
        <v>1.2173867882201296E-2</v>
      </c>
      <c r="F790" s="56">
        <f>Pinus[[#This Row],[gi_m²]]*Pinus[[#This Row],[h_m]]*0.45</f>
        <v>5.9658039556727452E-2</v>
      </c>
    </row>
    <row r="791" spans="1:6" x14ac:dyDescent="0.3">
      <c r="A791" s="37">
        <v>8</v>
      </c>
      <c r="B791" s="37">
        <v>90</v>
      </c>
      <c r="C791" s="55">
        <v>17.38</v>
      </c>
      <c r="D791" s="55">
        <v>12.12</v>
      </c>
      <c r="E791" s="56">
        <f>(PI()*(Pinus[[#This Row],[d_cm]]^2))/40000</f>
        <v>2.3724082498775216E-2</v>
      </c>
      <c r="F791" s="56">
        <f>Pinus[[#This Row],[gi_m²]]*Pinus[[#This Row],[h_m]]*0.45</f>
        <v>0.12939114594832002</v>
      </c>
    </row>
    <row r="792" spans="1:6" x14ac:dyDescent="0.3">
      <c r="A792" s="37">
        <v>8</v>
      </c>
      <c r="B792" s="37">
        <v>91</v>
      </c>
      <c r="C792" s="55">
        <v>21.58</v>
      </c>
      <c r="D792" s="55">
        <v>12.92</v>
      </c>
      <c r="E792" s="56">
        <f>(PI()*(Pinus[[#This Row],[d_cm]]^2))/40000</f>
        <v>3.657570972608034E-2</v>
      </c>
      <c r="F792" s="56">
        <f>Pinus[[#This Row],[gi_m²]]*Pinus[[#This Row],[h_m]]*0.45</f>
        <v>0.21265117634743111</v>
      </c>
    </row>
    <row r="793" spans="1:6" x14ac:dyDescent="0.3">
      <c r="A793" s="37">
        <v>8</v>
      </c>
      <c r="B793" s="37">
        <v>92</v>
      </c>
      <c r="C793" s="55">
        <v>16.350000000000001</v>
      </c>
      <c r="D793" s="55">
        <v>11.89</v>
      </c>
      <c r="E793" s="56">
        <f>(PI()*(Pinus[[#This Row],[d_cm]]^2))/40000</f>
        <v>2.0995460053481442E-2</v>
      </c>
      <c r="F793" s="56">
        <f>Pinus[[#This Row],[gi_m²]]*Pinus[[#This Row],[h_m]]*0.45</f>
        <v>0.11233620901615246</v>
      </c>
    </row>
    <row r="794" spans="1:6" x14ac:dyDescent="0.3">
      <c r="A794" s="37">
        <v>8</v>
      </c>
      <c r="B794" s="37">
        <v>93</v>
      </c>
      <c r="C794" s="55">
        <v>23.55</v>
      </c>
      <c r="D794" s="55">
        <v>13.24</v>
      </c>
      <c r="E794" s="56">
        <f>(PI()*(Pinus[[#This Row],[d_cm]]^2))/40000</f>
        <v>4.355837849156334E-2</v>
      </c>
      <c r="F794" s="56">
        <f>Pinus[[#This Row],[gi_m²]]*Pinus[[#This Row],[h_m]]*0.45</f>
        <v>0.25952081905273439</v>
      </c>
    </row>
    <row r="795" spans="1:6" x14ac:dyDescent="0.3">
      <c r="A795" s="37">
        <v>8</v>
      </c>
      <c r="B795" s="37">
        <v>94</v>
      </c>
      <c r="C795" s="55">
        <v>21.33</v>
      </c>
      <c r="D795" s="55">
        <v>12.87</v>
      </c>
      <c r="E795" s="56">
        <f>(PI()*(Pinus[[#This Row],[d_cm]]^2))/40000</f>
        <v>3.5733173846295721E-2</v>
      </c>
      <c r="F795" s="56">
        <f>Pinus[[#This Row],[gi_m²]]*Pinus[[#This Row],[h_m]]*0.45</f>
        <v>0.20694867633082167</v>
      </c>
    </row>
    <row r="796" spans="1:6" x14ac:dyDescent="0.3">
      <c r="A796" s="37">
        <v>8</v>
      </c>
      <c r="B796" s="37">
        <v>95</v>
      </c>
      <c r="C796" s="55">
        <v>19.32</v>
      </c>
      <c r="D796" s="55">
        <v>12.51</v>
      </c>
      <c r="E796" s="56">
        <f>(PI()*(Pinus[[#This Row],[d_cm]]^2))/40000</f>
        <v>2.9315960342532373E-2</v>
      </c>
      <c r="F796" s="56">
        <f>Pinus[[#This Row],[gi_m²]]*Pinus[[#This Row],[h_m]]*0.45</f>
        <v>0.16503419874828598</v>
      </c>
    </row>
    <row r="797" spans="1:6" x14ac:dyDescent="0.3">
      <c r="A797" s="37">
        <v>8</v>
      </c>
      <c r="B797" s="37">
        <v>96</v>
      </c>
      <c r="C797" s="55">
        <v>23.28</v>
      </c>
      <c r="D797" s="55">
        <v>13.2</v>
      </c>
      <c r="E797" s="56">
        <f>(PI()*(Pinus[[#This Row],[d_cm]]^2))/40000</f>
        <v>4.2565313199781969E-2</v>
      </c>
      <c r="F797" s="56">
        <f>Pinus[[#This Row],[gi_m²]]*Pinus[[#This Row],[h_m]]*0.45</f>
        <v>0.25283796040670486</v>
      </c>
    </row>
    <row r="798" spans="1:6" x14ac:dyDescent="0.3">
      <c r="A798" s="37">
        <v>8</v>
      </c>
      <c r="B798" s="37">
        <v>97</v>
      </c>
      <c r="C798" s="55">
        <v>21.55</v>
      </c>
      <c r="D798" s="55">
        <v>12.91</v>
      </c>
      <c r="E798" s="56">
        <f>(PI()*(Pinus[[#This Row],[d_cm]]^2))/40000</f>
        <v>3.6474087057718353E-2</v>
      </c>
      <c r="F798" s="56">
        <f>Pinus[[#This Row],[gi_m²]]*Pinus[[#This Row],[h_m]]*0.45</f>
        <v>0.21189620876181478</v>
      </c>
    </row>
    <row r="799" spans="1:6" x14ac:dyDescent="0.3">
      <c r="A799" s="37">
        <v>8</v>
      </c>
      <c r="B799" s="37">
        <v>98</v>
      </c>
      <c r="C799" s="55">
        <v>18.22</v>
      </c>
      <c r="D799" s="55">
        <v>12.29</v>
      </c>
      <c r="E799" s="56">
        <f>(PI()*(Pinus[[#This Row],[d_cm]]^2))/40000</f>
        <v>2.6072737166598945E-2</v>
      </c>
      <c r="F799" s="56">
        <f>Pinus[[#This Row],[gi_m²]]*Pinus[[#This Row],[h_m]]*0.45</f>
        <v>0.14419527289987547</v>
      </c>
    </row>
    <row r="800" spans="1:6" x14ac:dyDescent="0.3">
      <c r="A800" s="37">
        <v>8</v>
      </c>
      <c r="B800" s="37">
        <v>99</v>
      </c>
      <c r="C800" s="55">
        <v>20.92</v>
      </c>
      <c r="D800" s="55">
        <v>12.8</v>
      </c>
      <c r="E800" s="56">
        <f>(PI()*(Pinus[[#This Row],[d_cm]]^2))/40000</f>
        <v>3.4372667877750507E-2</v>
      </c>
      <c r="F800" s="56">
        <f>Pinus[[#This Row],[gi_m²]]*Pinus[[#This Row],[h_m]]*0.45</f>
        <v>0.19798656697584294</v>
      </c>
    </row>
    <row r="801" spans="1:6" x14ac:dyDescent="0.3">
      <c r="A801" s="37">
        <v>8</v>
      </c>
      <c r="B801" s="37">
        <v>100</v>
      </c>
      <c r="C801" s="55">
        <v>22.59</v>
      </c>
      <c r="D801" s="55">
        <v>13.09</v>
      </c>
      <c r="E801" s="56">
        <f>(PI()*(Pinus[[#This Row],[d_cm]]^2))/40000</f>
        <v>4.0079504450684138E-2</v>
      </c>
      <c r="F801" s="56">
        <f>Pinus[[#This Row],[gi_m²]]*Pinus[[#This Row],[h_m]]*0.45</f>
        <v>0.23608832096675492</v>
      </c>
    </row>
    <row r="802" spans="1:6" x14ac:dyDescent="0.3">
      <c r="A802" s="37">
        <v>9</v>
      </c>
      <c r="B802" s="37">
        <v>1</v>
      </c>
      <c r="C802" s="55">
        <v>21.43</v>
      </c>
      <c r="D802" s="55">
        <v>16.329999999999998</v>
      </c>
      <c r="E802" s="56">
        <f>(PI()*(Pinus[[#This Row],[d_cm]]^2))/40000</f>
        <v>3.6069010100964478E-2</v>
      </c>
      <c r="F802" s="56">
        <f>Pinus[[#This Row],[gi_m²]]*Pinus[[#This Row],[h_m]]*0.45</f>
        <v>0.26505312072693749</v>
      </c>
    </row>
    <row r="803" spans="1:6" x14ac:dyDescent="0.3">
      <c r="A803" s="37">
        <v>9</v>
      </c>
      <c r="B803" s="37">
        <v>2</v>
      </c>
      <c r="C803" s="55">
        <v>17.37</v>
      </c>
      <c r="D803" s="55">
        <v>15.35</v>
      </c>
      <c r="E803" s="56">
        <f>(PI()*(Pinus[[#This Row],[d_cm]]^2))/40000</f>
        <v>2.3696789912597157E-2</v>
      </c>
      <c r="F803" s="56">
        <f>Pinus[[#This Row],[gi_m²]]*Pinus[[#This Row],[h_m]]*0.45</f>
        <v>0.16368557632126485</v>
      </c>
    </row>
    <row r="804" spans="1:6" x14ac:dyDescent="0.3">
      <c r="A804" s="37">
        <v>9</v>
      </c>
      <c r="B804" s="37">
        <v>3</v>
      </c>
      <c r="C804" s="55">
        <v>23.42</v>
      </c>
      <c r="D804" s="55">
        <v>16.75</v>
      </c>
      <c r="E804" s="56">
        <f>(PI()*(Pinus[[#This Row],[d_cm]]^2))/40000</f>
        <v>4.3078806519011227E-2</v>
      </c>
      <c r="F804" s="56">
        <f>Pinus[[#This Row],[gi_m²]]*Pinus[[#This Row],[h_m]]*0.45</f>
        <v>0.32470650413704716</v>
      </c>
    </row>
    <row r="805" spans="1:6" x14ac:dyDescent="0.3">
      <c r="A805" s="37">
        <v>9</v>
      </c>
      <c r="B805" s="37">
        <v>4</v>
      </c>
      <c r="C805" s="55">
        <v>24.61</v>
      </c>
      <c r="D805" s="55">
        <v>16.98</v>
      </c>
      <c r="E805" s="56">
        <f>(PI()*(Pinus[[#This Row],[d_cm]]^2))/40000</f>
        <v>4.7567804699780773E-2</v>
      </c>
      <c r="F805" s="56">
        <f>Pinus[[#This Row],[gi_m²]]*Pinus[[#This Row],[h_m]]*0.45</f>
        <v>0.36346559571102488</v>
      </c>
    </row>
    <row r="806" spans="1:6" x14ac:dyDescent="0.3">
      <c r="A806" s="37">
        <v>9</v>
      </c>
      <c r="B806" s="37">
        <v>5</v>
      </c>
      <c r="C806" s="55">
        <v>21.11</v>
      </c>
      <c r="D806" s="55">
        <v>16.260000000000002</v>
      </c>
      <c r="E806" s="56">
        <f>(PI()*(Pinus[[#This Row],[d_cm]]^2))/40000</f>
        <v>3.4999863289094796E-2</v>
      </c>
      <c r="F806" s="56">
        <f>Pinus[[#This Row],[gi_m²]]*Pinus[[#This Row],[h_m]]*0.45</f>
        <v>0.25609399968630664</v>
      </c>
    </row>
    <row r="807" spans="1:6" x14ac:dyDescent="0.3">
      <c r="A807" s="37">
        <v>9</v>
      </c>
      <c r="B807" s="37">
        <v>6</v>
      </c>
      <c r="C807" s="55">
        <v>20.58</v>
      </c>
      <c r="D807" s="55">
        <v>16.14</v>
      </c>
      <c r="E807" s="56">
        <f>(PI()*(Pinus[[#This Row],[d_cm]]^2))/40000</f>
        <v>3.3264471069196694E-2</v>
      </c>
      <c r="F807" s="56">
        <f>Pinus[[#This Row],[gi_m²]]*Pinus[[#This Row],[h_m]]*0.45</f>
        <v>0.2415998533755756</v>
      </c>
    </row>
    <row r="808" spans="1:6" x14ac:dyDescent="0.3">
      <c r="A808" s="37">
        <v>9</v>
      </c>
      <c r="B808" s="37">
        <v>7</v>
      </c>
      <c r="C808" s="55">
        <v>19.7</v>
      </c>
      <c r="D808" s="55">
        <v>15.94</v>
      </c>
      <c r="E808" s="56">
        <f>(PI()*(Pinus[[#This Row],[d_cm]]^2))/40000</f>
        <v>3.0480517323291569E-2</v>
      </c>
      <c r="F808" s="56">
        <f>Pinus[[#This Row],[gi_m²]]*Pinus[[#This Row],[h_m]]*0.45</f>
        <v>0.21863675075997041</v>
      </c>
    </row>
    <row r="809" spans="1:6" x14ac:dyDescent="0.3">
      <c r="A809" s="37">
        <v>9</v>
      </c>
      <c r="B809" s="37">
        <v>8</v>
      </c>
      <c r="C809" s="55">
        <v>28.65</v>
      </c>
      <c r="D809" s="55">
        <v>17.690000000000001</v>
      </c>
      <c r="E809" s="56">
        <f>(PI()*(Pinus[[#This Row],[d_cm]]^2))/40000</f>
        <v>6.4467248397530194E-2</v>
      </c>
      <c r="F809" s="56">
        <f>Pinus[[#This Row],[gi_m²]]*Pinus[[#This Row],[h_m]]*0.45</f>
        <v>0.51319153086853919</v>
      </c>
    </row>
    <row r="810" spans="1:6" x14ac:dyDescent="0.3">
      <c r="A810" s="37">
        <v>9</v>
      </c>
      <c r="B810" s="37">
        <v>9</v>
      </c>
      <c r="C810" s="55">
        <v>21.11</v>
      </c>
      <c r="D810" s="55">
        <v>16.260000000000002</v>
      </c>
      <c r="E810" s="56">
        <f>(PI()*(Pinus[[#This Row],[d_cm]]^2))/40000</f>
        <v>3.4999863289094796E-2</v>
      </c>
      <c r="F810" s="56">
        <f>Pinus[[#This Row],[gi_m²]]*Pinus[[#This Row],[h_m]]*0.45</f>
        <v>0.25609399968630664</v>
      </c>
    </row>
    <row r="811" spans="1:6" x14ac:dyDescent="0.3">
      <c r="A811" s="37">
        <v>9</v>
      </c>
      <c r="B811" s="37">
        <v>10</v>
      </c>
      <c r="C811" s="55">
        <v>19.37</v>
      </c>
      <c r="D811" s="55">
        <v>15.86</v>
      </c>
      <c r="E811" s="56">
        <f>(PI()*(Pinus[[#This Row],[d_cm]]^2))/40000</f>
        <v>2.9467895617241606E-2</v>
      </c>
      <c r="F811" s="56">
        <f>Pinus[[#This Row],[gi_m²]]*Pinus[[#This Row],[h_m]]*0.45</f>
        <v>0.21031237102025335</v>
      </c>
    </row>
    <row r="812" spans="1:6" x14ac:dyDescent="0.3">
      <c r="A812" s="37">
        <v>9</v>
      </c>
      <c r="B812" s="37">
        <v>11</v>
      </c>
      <c r="C812" s="55">
        <v>9.9700000000000006</v>
      </c>
      <c r="D812" s="55">
        <v>12.76</v>
      </c>
      <c r="E812" s="56">
        <f>(PI()*(Pinus[[#This Row],[d_cm]]^2))/40000</f>
        <v>7.8069284300053424E-3</v>
      </c>
      <c r="F812" s="56">
        <f>Pinus[[#This Row],[gi_m²]]*Pinus[[#This Row],[h_m]]*0.45</f>
        <v>4.482738304509068E-2</v>
      </c>
    </row>
    <row r="813" spans="1:6" x14ac:dyDescent="0.3">
      <c r="A813" s="37">
        <v>9</v>
      </c>
      <c r="B813" s="37">
        <v>12</v>
      </c>
      <c r="C813" s="55">
        <v>13.74</v>
      </c>
      <c r="D813" s="55">
        <v>14.26</v>
      </c>
      <c r="E813" s="56">
        <f>(PI()*(Pinus[[#This Row],[d_cm]]^2))/40000</f>
        <v>1.4827343431221211E-2</v>
      </c>
      <c r="F813" s="56">
        <f>Pinus[[#This Row],[gi_m²]]*Pinus[[#This Row],[h_m]]*0.45</f>
        <v>9.5147062798146512E-2</v>
      </c>
    </row>
    <row r="814" spans="1:6" x14ac:dyDescent="0.3">
      <c r="A814" s="37">
        <v>9</v>
      </c>
      <c r="B814" s="37">
        <v>13</v>
      </c>
      <c r="C814" s="55">
        <v>19.690000000000001</v>
      </c>
      <c r="D814" s="55">
        <v>15.94</v>
      </c>
      <c r="E814" s="56">
        <f>(PI()*(Pinus[[#This Row],[d_cm]]^2))/40000</f>
        <v>3.044958048963535E-2</v>
      </c>
      <c r="F814" s="56">
        <f>Pinus[[#This Row],[gi_m²]]*Pinus[[#This Row],[h_m]]*0.45</f>
        <v>0.21841484085215435</v>
      </c>
    </row>
    <row r="815" spans="1:6" x14ac:dyDescent="0.3">
      <c r="A815" s="37">
        <v>9</v>
      </c>
      <c r="B815" s="37">
        <v>14</v>
      </c>
      <c r="C815" s="55">
        <v>20.83</v>
      </c>
      <c r="D815" s="55">
        <v>16.2</v>
      </c>
      <c r="E815" s="56">
        <f>(PI()*(Pinus[[#This Row],[d_cm]]^2))/40000</f>
        <v>3.4077554517853909E-2</v>
      </c>
      <c r="F815" s="56">
        <f>Pinus[[#This Row],[gi_m²]]*Pinus[[#This Row],[h_m]]*0.45</f>
        <v>0.248425372435155</v>
      </c>
    </row>
    <row r="816" spans="1:6" x14ac:dyDescent="0.3">
      <c r="A816" s="37">
        <v>9</v>
      </c>
      <c r="B816" s="37">
        <v>15</v>
      </c>
      <c r="C816" s="55">
        <v>21.11</v>
      </c>
      <c r="D816" s="55">
        <v>16.260000000000002</v>
      </c>
      <c r="E816" s="56">
        <f>(PI()*(Pinus[[#This Row],[d_cm]]^2))/40000</f>
        <v>3.4999863289094796E-2</v>
      </c>
      <c r="F816" s="56">
        <f>Pinus[[#This Row],[gi_m²]]*Pinus[[#This Row],[h_m]]*0.45</f>
        <v>0.25609399968630664</v>
      </c>
    </row>
    <row r="817" spans="1:6" x14ac:dyDescent="0.3">
      <c r="A817" s="37">
        <v>9</v>
      </c>
      <c r="B817" s="37">
        <v>16</v>
      </c>
      <c r="C817" s="55">
        <v>23.29</v>
      </c>
      <c r="D817" s="55">
        <v>16.72</v>
      </c>
      <c r="E817" s="56">
        <f>(PI()*(Pinus[[#This Row],[d_cm]]^2))/40000</f>
        <v>4.2601889192251378E-2</v>
      </c>
      <c r="F817" s="56">
        <f>Pinus[[#This Row],[gi_m²]]*Pinus[[#This Row],[h_m]]*0.45</f>
        <v>0.32053661428249935</v>
      </c>
    </row>
    <row r="818" spans="1:6" x14ac:dyDescent="0.3">
      <c r="A818" s="37">
        <v>9</v>
      </c>
      <c r="B818" s="37">
        <v>17</v>
      </c>
      <c r="C818" s="55">
        <v>19.22</v>
      </c>
      <c r="D818" s="55">
        <v>15.83</v>
      </c>
      <c r="E818" s="56">
        <f>(PI()*(Pinus[[#This Row],[d_cm]]^2))/40000</f>
        <v>2.901326789035899E-2</v>
      </c>
      <c r="F818" s="56">
        <f>Pinus[[#This Row],[gi_m²]]*Pinus[[#This Row],[h_m]]*0.45</f>
        <v>0.20667601381697229</v>
      </c>
    </row>
    <row r="819" spans="1:6" x14ac:dyDescent="0.3">
      <c r="A819" s="37">
        <v>9</v>
      </c>
      <c r="B819" s="37">
        <v>18</v>
      </c>
      <c r="C819" s="55">
        <v>24.86</v>
      </c>
      <c r="D819" s="55">
        <v>17.03</v>
      </c>
      <c r="E819" s="56">
        <f>(PI()*(Pinus[[#This Row],[d_cm]]^2))/40000</f>
        <v>4.8539145878362555E-2</v>
      </c>
      <c r="F819" s="56">
        <f>Pinus[[#This Row],[gi_m²]]*Pinus[[#This Row],[h_m]]*0.45</f>
        <v>0.37197974443883147</v>
      </c>
    </row>
    <row r="820" spans="1:6" x14ac:dyDescent="0.3">
      <c r="A820" s="37">
        <v>9</v>
      </c>
      <c r="B820" s="37">
        <v>19</v>
      </c>
      <c r="C820" s="55">
        <v>16.309999999999999</v>
      </c>
      <c r="D820" s="55">
        <v>15.06</v>
      </c>
      <c r="E820" s="56">
        <f>(PI()*(Pinus[[#This Row],[d_cm]]^2))/40000</f>
        <v>2.0892855637415188E-2</v>
      </c>
      <c r="F820" s="56">
        <f>Pinus[[#This Row],[gi_m²]]*Pinus[[#This Row],[h_m]]*0.45</f>
        <v>0.14159088265476275</v>
      </c>
    </row>
    <row r="821" spans="1:6" x14ac:dyDescent="0.3">
      <c r="A821" s="37">
        <v>9</v>
      </c>
      <c r="B821" s="37">
        <v>20</v>
      </c>
      <c r="C821" s="55">
        <v>15.17</v>
      </c>
      <c r="D821" s="55">
        <v>14.72</v>
      </c>
      <c r="E821" s="56">
        <f>(PI()*(Pinus[[#This Row],[d_cm]]^2))/40000</f>
        <v>1.8074281540467502E-2</v>
      </c>
      <c r="F821" s="56">
        <f>Pinus[[#This Row],[gi_m²]]*Pinus[[#This Row],[h_m]]*0.45</f>
        <v>0.11972404092405674</v>
      </c>
    </row>
    <row r="822" spans="1:6" x14ac:dyDescent="0.3">
      <c r="A822" s="37">
        <v>9</v>
      </c>
      <c r="B822" s="37">
        <v>21</v>
      </c>
      <c r="C822" s="55">
        <v>15.08</v>
      </c>
      <c r="D822" s="55">
        <v>14.69</v>
      </c>
      <c r="E822" s="56">
        <f>(PI()*(Pinus[[#This Row],[d_cm]]^2))/40000</f>
        <v>1.7860456890482546E-2</v>
      </c>
      <c r="F822" s="56">
        <f>Pinus[[#This Row],[gi_m²]]*Pinus[[#This Row],[h_m]]*0.45</f>
        <v>0.11806655027453486</v>
      </c>
    </row>
    <row r="823" spans="1:6" x14ac:dyDescent="0.3">
      <c r="A823" s="37">
        <v>9</v>
      </c>
      <c r="B823" s="37">
        <v>22</v>
      </c>
      <c r="C823" s="55">
        <v>22.97</v>
      </c>
      <c r="D823" s="55">
        <v>16.66</v>
      </c>
      <c r="E823" s="56">
        <f>(PI()*(Pinus[[#This Row],[d_cm]]^2))/40000</f>
        <v>4.143924858301086E-2</v>
      </c>
      <c r="F823" s="56">
        <f>Pinus[[#This Row],[gi_m²]]*Pinus[[#This Row],[h_m]]*0.45</f>
        <v>0.31067004662683245</v>
      </c>
    </row>
    <row r="824" spans="1:6" x14ac:dyDescent="0.3">
      <c r="A824" s="37">
        <v>9</v>
      </c>
      <c r="B824" s="37">
        <v>23</v>
      </c>
      <c r="C824" s="55">
        <v>19.670000000000002</v>
      </c>
      <c r="D824" s="55">
        <v>15.93</v>
      </c>
      <c r="E824" s="56">
        <f>(PI()*(Pinus[[#This Row],[d_cm]]^2))/40000</f>
        <v>3.0387753946212705E-2</v>
      </c>
      <c r="F824" s="56">
        <f>Pinus[[#This Row],[gi_m²]]*Pinus[[#This Row],[h_m]]*0.45</f>
        <v>0.21783461416342578</v>
      </c>
    </row>
    <row r="825" spans="1:6" x14ac:dyDescent="0.3">
      <c r="A825" s="37">
        <v>9</v>
      </c>
      <c r="B825" s="37">
        <v>24</v>
      </c>
      <c r="C825" s="55">
        <v>23.16</v>
      </c>
      <c r="D825" s="55">
        <v>16.7</v>
      </c>
      <c r="E825" s="56">
        <f>(PI()*(Pinus[[#This Row],[d_cm]]^2))/40000</f>
        <v>4.2127626511283829E-2</v>
      </c>
      <c r="F825" s="56">
        <f>Pinus[[#This Row],[gi_m²]]*Pinus[[#This Row],[h_m]]*0.45</f>
        <v>0.31658911323229799</v>
      </c>
    </row>
    <row r="826" spans="1:6" x14ac:dyDescent="0.3">
      <c r="A826" s="37">
        <v>9</v>
      </c>
      <c r="B826" s="37">
        <v>25</v>
      </c>
      <c r="C826" s="55">
        <v>18.93</v>
      </c>
      <c r="D826" s="55">
        <v>15.75</v>
      </c>
      <c r="E826" s="56">
        <f>(PI()*(Pinus[[#This Row],[d_cm]]^2))/40000</f>
        <v>2.8144342632284224E-2</v>
      </c>
      <c r="F826" s="56">
        <f>Pinus[[#This Row],[gi_m²]]*Pinus[[#This Row],[h_m]]*0.45</f>
        <v>0.19947302840631445</v>
      </c>
    </row>
    <row r="827" spans="1:6" x14ac:dyDescent="0.3">
      <c r="A827" s="37">
        <v>9</v>
      </c>
      <c r="B827" s="37">
        <v>26</v>
      </c>
      <c r="C827" s="55">
        <v>17.63</v>
      </c>
      <c r="D827" s="55">
        <v>15.42</v>
      </c>
      <c r="E827" s="56">
        <f>(PI()*(Pinus[[#This Row],[d_cm]]^2))/40000</f>
        <v>2.4411502241288831E-2</v>
      </c>
      <c r="F827" s="56">
        <f>Pinus[[#This Row],[gi_m²]]*Pinus[[#This Row],[h_m]]*0.45</f>
        <v>0.16939141405230321</v>
      </c>
    </row>
    <row r="828" spans="1:6" x14ac:dyDescent="0.3">
      <c r="A828" s="37">
        <v>9</v>
      </c>
      <c r="B828" s="37">
        <v>27</v>
      </c>
      <c r="C828" s="55">
        <v>18.53</v>
      </c>
      <c r="D828" s="55">
        <v>15.65</v>
      </c>
      <c r="E828" s="56">
        <f>(PI()*(Pinus[[#This Row],[d_cm]]^2))/40000</f>
        <v>2.6967502024249489E-2</v>
      </c>
      <c r="F828" s="56">
        <f>Pinus[[#This Row],[gi_m²]]*Pinus[[#This Row],[h_m]]*0.45</f>
        <v>0.18991863300577705</v>
      </c>
    </row>
    <row r="829" spans="1:6" x14ac:dyDescent="0.3">
      <c r="A829" s="37">
        <v>9</v>
      </c>
      <c r="B829" s="37">
        <v>28</v>
      </c>
      <c r="C829" s="55">
        <v>12.59</v>
      </c>
      <c r="D829" s="55">
        <v>13.85</v>
      </c>
      <c r="E829" s="56">
        <f>(PI()*(Pinus[[#This Row],[d_cm]]^2))/40000</f>
        <v>1.2449197062361906E-2</v>
      </c>
      <c r="F829" s="56">
        <f>Pinus[[#This Row],[gi_m²]]*Pinus[[#This Row],[h_m]]*0.45</f>
        <v>7.7589620691170577E-2</v>
      </c>
    </row>
    <row r="830" spans="1:6" x14ac:dyDescent="0.3">
      <c r="A830" s="37">
        <v>9</v>
      </c>
      <c r="B830" s="37">
        <v>29</v>
      </c>
      <c r="C830" s="55">
        <v>15.32</v>
      </c>
      <c r="D830" s="55">
        <v>14.77</v>
      </c>
      <c r="E830" s="56">
        <f>(PI()*(Pinus[[#This Row],[d_cm]]^2))/40000</f>
        <v>1.8433483390497326E-2</v>
      </c>
      <c r="F830" s="56">
        <f>Pinus[[#This Row],[gi_m²]]*Pinus[[#This Row],[h_m]]*0.45</f>
        <v>0.12251814735494049</v>
      </c>
    </row>
    <row r="831" spans="1:6" x14ac:dyDescent="0.3">
      <c r="A831" s="37">
        <v>9</v>
      </c>
      <c r="B831" s="37">
        <v>30</v>
      </c>
      <c r="C831" s="55">
        <v>14.23</v>
      </c>
      <c r="D831" s="55">
        <v>14.42</v>
      </c>
      <c r="E831" s="56">
        <f>(PI()*(Pinus[[#This Row],[d_cm]]^2))/40000</f>
        <v>1.5903755176102315E-2</v>
      </c>
      <c r="F831" s="56">
        <f>Pinus[[#This Row],[gi_m²]]*Pinus[[#This Row],[h_m]]*0.45</f>
        <v>0.10319946733772792</v>
      </c>
    </row>
    <row r="832" spans="1:6" x14ac:dyDescent="0.3">
      <c r="A832" s="37">
        <v>9</v>
      </c>
      <c r="B832" s="37">
        <v>31</v>
      </c>
      <c r="C832" s="55">
        <v>24.22</v>
      </c>
      <c r="D832" s="55">
        <v>16.91</v>
      </c>
      <c r="E832" s="56">
        <f>(PI()*(Pinus[[#This Row],[d_cm]]^2))/40000</f>
        <v>4.6072115999351564E-2</v>
      </c>
      <c r="F832" s="56">
        <f>Pinus[[#This Row],[gi_m²]]*Pinus[[#This Row],[h_m]]*0.45</f>
        <v>0.35058576669706576</v>
      </c>
    </row>
    <row r="833" spans="1:6" x14ac:dyDescent="0.3">
      <c r="A833" s="37">
        <v>9</v>
      </c>
      <c r="B833" s="37">
        <v>32</v>
      </c>
      <c r="C833" s="55">
        <v>17.61</v>
      </c>
      <c r="D833" s="55">
        <v>15.42</v>
      </c>
      <c r="E833" s="56">
        <f>(PI()*(Pinus[[#This Row],[d_cm]]^2))/40000</f>
        <v>2.4356147378732582E-2</v>
      </c>
      <c r="F833" s="56">
        <f>Pinus[[#This Row],[gi_m²]]*Pinus[[#This Row],[h_m]]*0.45</f>
        <v>0.1690073066610254</v>
      </c>
    </row>
    <row r="834" spans="1:6" x14ac:dyDescent="0.3">
      <c r="A834" s="37">
        <v>9</v>
      </c>
      <c r="B834" s="37">
        <v>33</v>
      </c>
      <c r="C834" s="55">
        <v>23.16</v>
      </c>
      <c r="D834" s="55">
        <v>16.7</v>
      </c>
      <c r="E834" s="56">
        <f>(PI()*(Pinus[[#This Row],[d_cm]]^2))/40000</f>
        <v>4.2127626511283829E-2</v>
      </c>
      <c r="F834" s="56">
        <f>Pinus[[#This Row],[gi_m²]]*Pinus[[#This Row],[h_m]]*0.45</f>
        <v>0.31658911323229799</v>
      </c>
    </row>
    <row r="835" spans="1:6" x14ac:dyDescent="0.3">
      <c r="A835" s="37">
        <v>9</v>
      </c>
      <c r="B835" s="37">
        <v>34</v>
      </c>
      <c r="C835" s="55">
        <v>26.07</v>
      </c>
      <c r="D835" s="55">
        <v>17.25</v>
      </c>
      <c r="E835" s="56">
        <f>(PI()*(Pinus[[#This Row],[d_cm]]^2))/40000</f>
        <v>5.3379185622244245E-2</v>
      </c>
      <c r="F835" s="56">
        <f>Pinus[[#This Row],[gi_m²]]*Pinus[[#This Row],[h_m]]*0.45</f>
        <v>0.41435592839267094</v>
      </c>
    </row>
    <row r="836" spans="1:6" x14ac:dyDescent="0.3">
      <c r="A836" s="37">
        <v>9</v>
      </c>
      <c r="B836" s="37">
        <v>35</v>
      </c>
      <c r="C836" s="55">
        <v>19.23</v>
      </c>
      <c r="D836" s="55">
        <v>15.83</v>
      </c>
      <c r="E836" s="56">
        <f>(PI()*(Pinus[[#This Row],[d_cm]]^2))/40000</f>
        <v>2.904346644974163E-2</v>
      </c>
      <c r="F836" s="56">
        <f>Pinus[[#This Row],[gi_m²]]*Pinus[[#This Row],[h_m]]*0.45</f>
        <v>0.20689113325473449</v>
      </c>
    </row>
    <row r="837" spans="1:6" x14ac:dyDescent="0.3">
      <c r="A837" s="37">
        <v>9</v>
      </c>
      <c r="B837" s="37">
        <v>36</v>
      </c>
      <c r="C837" s="55">
        <v>21.14</v>
      </c>
      <c r="D837" s="55">
        <v>16.27</v>
      </c>
      <c r="E837" s="56">
        <f>(PI()*(Pinus[[#This Row],[d_cm]]^2))/40000</f>
        <v>3.5099412506305432E-2</v>
      </c>
      <c r="F837" s="56">
        <f>Pinus[[#This Row],[gi_m²]]*Pinus[[#This Row],[h_m]]*0.45</f>
        <v>0.2569803486649152</v>
      </c>
    </row>
    <row r="838" spans="1:6" x14ac:dyDescent="0.3">
      <c r="A838" s="37">
        <v>9</v>
      </c>
      <c r="B838" s="37">
        <v>37</v>
      </c>
      <c r="C838" s="55">
        <v>13</v>
      </c>
      <c r="D838" s="55">
        <v>14</v>
      </c>
      <c r="E838" s="56">
        <f>(PI()*(Pinus[[#This Row],[d_cm]]^2))/40000</f>
        <v>1.3273228961416876E-2</v>
      </c>
      <c r="F838" s="56">
        <f>Pinus[[#This Row],[gi_m²]]*Pinus[[#This Row],[h_m]]*0.45</f>
        <v>8.3621342456926331E-2</v>
      </c>
    </row>
    <row r="839" spans="1:6" x14ac:dyDescent="0.3">
      <c r="A839" s="37">
        <v>9</v>
      </c>
      <c r="B839" s="37">
        <v>38</v>
      </c>
      <c r="C839" s="55">
        <v>16.73</v>
      </c>
      <c r="D839" s="55">
        <v>15.18</v>
      </c>
      <c r="E839" s="56">
        <f>(PI()*(Pinus[[#This Row],[d_cm]]^2))/40000</f>
        <v>2.1982736960798565E-2</v>
      </c>
      <c r="F839" s="56">
        <f>Pinus[[#This Row],[gi_m²]]*Pinus[[#This Row],[h_m]]*0.45</f>
        <v>0.15016407617921501</v>
      </c>
    </row>
    <row r="840" spans="1:6" x14ac:dyDescent="0.3">
      <c r="A840" s="37">
        <v>9</v>
      </c>
      <c r="B840" s="37">
        <v>39</v>
      </c>
      <c r="C840" s="55">
        <v>20.22</v>
      </c>
      <c r="D840" s="55">
        <v>16.059999999999999</v>
      </c>
      <c r="E840" s="56">
        <f>(PI()*(Pinus[[#This Row],[d_cm]]^2))/40000</f>
        <v>3.2110878246798528E-2</v>
      </c>
      <c r="F840" s="56">
        <f>Pinus[[#This Row],[gi_m²]]*Pinus[[#This Row],[h_m]]*0.45</f>
        <v>0.23206531708961295</v>
      </c>
    </row>
    <row r="841" spans="1:6" x14ac:dyDescent="0.3">
      <c r="A841" s="37">
        <v>9</v>
      </c>
      <c r="B841" s="37">
        <v>40</v>
      </c>
      <c r="C841" s="55">
        <v>21.2</v>
      </c>
      <c r="D841" s="55">
        <v>16.28</v>
      </c>
      <c r="E841" s="56">
        <f>(PI()*(Pinus[[#This Row],[d_cm]]^2))/40000</f>
        <v>3.5298935055734913E-2</v>
      </c>
      <c r="F841" s="56">
        <f>Pinus[[#This Row],[gi_m²]]*Pinus[[#This Row],[h_m]]*0.45</f>
        <v>0.25859999821831403</v>
      </c>
    </row>
    <row r="842" spans="1:6" x14ac:dyDescent="0.3">
      <c r="A842" s="37">
        <v>9</v>
      </c>
      <c r="B842" s="37">
        <v>41</v>
      </c>
      <c r="C842" s="55">
        <v>16.96</v>
      </c>
      <c r="D842" s="55">
        <v>15.24</v>
      </c>
      <c r="E842" s="56">
        <f>(PI()*(Pinus[[#This Row],[d_cm]]^2))/40000</f>
        <v>2.259131843567035E-2</v>
      </c>
      <c r="F842" s="56">
        <f>Pinus[[#This Row],[gi_m²]]*Pinus[[#This Row],[h_m]]*0.45</f>
        <v>0.15493126183182726</v>
      </c>
    </row>
    <row r="843" spans="1:6" x14ac:dyDescent="0.3">
      <c r="A843" s="37">
        <v>9</v>
      </c>
      <c r="B843" s="37">
        <v>42</v>
      </c>
      <c r="C843" s="55">
        <v>30.74</v>
      </c>
      <c r="D843" s="55">
        <v>18.02</v>
      </c>
      <c r="E843" s="56">
        <f>(PI()*(Pinus[[#This Row],[d_cm]]^2))/40000</f>
        <v>7.4216010954682651E-2</v>
      </c>
      <c r="F843" s="56">
        <f>Pinus[[#This Row],[gi_m²]]*Pinus[[#This Row],[h_m]]*0.45</f>
        <v>0.60181763283152157</v>
      </c>
    </row>
    <row r="844" spans="1:6" x14ac:dyDescent="0.3">
      <c r="A844" s="37">
        <v>9</v>
      </c>
      <c r="B844" s="37">
        <v>43</v>
      </c>
      <c r="C844" s="55">
        <v>18.170000000000002</v>
      </c>
      <c r="D844" s="55">
        <v>15.56</v>
      </c>
      <c r="E844" s="56">
        <f>(PI()*(Pinus[[#This Row],[d_cm]]^2))/40000</f>
        <v>2.5929833970768788E-2</v>
      </c>
      <c r="F844" s="56">
        <f>Pinus[[#This Row],[gi_m²]]*Pinus[[#This Row],[h_m]]*0.45</f>
        <v>0.18156069746332307</v>
      </c>
    </row>
    <row r="845" spans="1:6" x14ac:dyDescent="0.3">
      <c r="A845" s="37">
        <v>9</v>
      </c>
      <c r="B845" s="37">
        <v>44</v>
      </c>
      <c r="C845" s="55">
        <v>20.260000000000002</v>
      </c>
      <c r="D845" s="55">
        <v>16.07</v>
      </c>
      <c r="E845" s="56">
        <f>(PI()*(Pinus[[#This Row],[d_cm]]^2))/40000</f>
        <v>3.2238049917415849E-2</v>
      </c>
      <c r="F845" s="56">
        <f>Pinus[[#This Row],[gi_m²]]*Pinus[[#This Row],[h_m]]*0.45</f>
        <v>0.23312945797779275</v>
      </c>
    </row>
    <row r="846" spans="1:6" x14ac:dyDescent="0.3">
      <c r="A846" s="37">
        <v>9</v>
      </c>
      <c r="B846" s="37">
        <v>45</v>
      </c>
      <c r="C846" s="55">
        <v>22.6</v>
      </c>
      <c r="D846" s="55">
        <v>16.579999999999998</v>
      </c>
      <c r="E846" s="56">
        <f>(PI()*(Pinus[[#This Row],[d_cm]]^2))/40000</f>
        <v>4.0114996593688071E-2</v>
      </c>
      <c r="F846" s="56">
        <f>Pinus[[#This Row],[gi_m²]]*Pinus[[#This Row],[h_m]]*0.45</f>
        <v>0.29929798958550669</v>
      </c>
    </row>
    <row r="847" spans="1:6" x14ac:dyDescent="0.3">
      <c r="A847" s="37">
        <v>9</v>
      </c>
      <c r="B847" s="37">
        <v>46</v>
      </c>
      <c r="C847" s="55">
        <v>19.899999999999999</v>
      </c>
      <c r="D847" s="55">
        <v>15.99</v>
      </c>
      <c r="E847" s="56">
        <f>(PI()*(Pinus[[#This Row],[d_cm]]^2))/40000</f>
        <v>3.1102552668702346E-2</v>
      </c>
      <c r="F847" s="56">
        <f>Pinus[[#This Row],[gi_m²]]*Pinus[[#This Row],[h_m]]*0.45</f>
        <v>0.22379841772764775</v>
      </c>
    </row>
    <row r="848" spans="1:6" x14ac:dyDescent="0.3">
      <c r="A848" s="37">
        <v>9</v>
      </c>
      <c r="B848" s="37">
        <v>47</v>
      </c>
      <c r="C848" s="55">
        <v>17.43</v>
      </c>
      <c r="D848" s="55">
        <v>15.37</v>
      </c>
      <c r="E848" s="56">
        <f>(PI()*(Pinus[[#This Row],[d_cm]]^2))/40000</f>
        <v>2.386078104911454E-2</v>
      </c>
      <c r="F848" s="56">
        <f>Pinus[[#This Row],[gi_m²]]*Pinus[[#This Row],[h_m]]*0.45</f>
        <v>0.16503309212620071</v>
      </c>
    </row>
    <row r="849" spans="1:6" x14ac:dyDescent="0.3">
      <c r="A849" s="37">
        <v>9</v>
      </c>
      <c r="B849" s="37">
        <v>48</v>
      </c>
      <c r="C849" s="55">
        <v>24.18</v>
      </c>
      <c r="D849" s="55">
        <v>16.899999999999999</v>
      </c>
      <c r="E849" s="56">
        <f>(PI()*(Pinus[[#This Row],[d_cm]]^2))/40000</f>
        <v>4.5920062914917827E-2</v>
      </c>
      <c r="F849" s="56">
        <f>Pinus[[#This Row],[gi_m²]]*Pinus[[#This Row],[h_m]]*0.45</f>
        <v>0.34922207846795006</v>
      </c>
    </row>
    <row r="850" spans="1:6" x14ac:dyDescent="0.3">
      <c r="A850" s="37">
        <v>9</v>
      </c>
      <c r="B850" s="37">
        <v>49</v>
      </c>
      <c r="C850" s="55">
        <v>26.46</v>
      </c>
      <c r="D850" s="55">
        <v>17.32</v>
      </c>
      <c r="E850" s="56">
        <f>(PI()*(Pinus[[#This Row],[d_cm]]^2))/40000</f>
        <v>5.4988207277651691E-2</v>
      </c>
      <c r="F850" s="56">
        <f>Pinus[[#This Row],[gi_m²]]*Pinus[[#This Row],[h_m]]*0.45</f>
        <v>0.42857808752201731</v>
      </c>
    </row>
    <row r="851" spans="1:6" x14ac:dyDescent="0.3">
      <c r="A851" s="37">
        <v>9</v>
      </c>
      <c r="B851" s="37">
        <v>50</v>
      </c>
      <c r="C851" s="55">
        <v>19.88</v>
      </c>
      <c r="D851" s="55">
        <v>15.98</v>
      </c>
      <c r="E851" s="56">
        <f>(PI()*(Pinus[[#This Row],[d_cm]]^2))/40000</f>
        <v>3.1040066390822442E-2</v>
      </c>
      <c r="F851" s="56">
        <f>Pinus[[#This Row],[gi_m²]]*Pinus[[#This Row],[h_m]]*0.45</f>
        <v>0.22320911741640417</v>
      </c>
    </row>
    <row r="852" spans="1:6" x14ac:dyDescent="0.3">
      <c r="A852" s="37">
        <v>9</v>
      </c>
      <c r="B852" s="37">
        <v>51</v>
      </c>
      <c r="C852" s="55">
        <v>22.25</v>
      </c>
      <c r="D852" s="55">
        <v>16.510000000000002</v>
      </c>
      <c r="E852" s="56">
        <f>(PI()*(Pinus[[#This Row],[d_cm]]^2))/40000</f>
        <v>3.8882117826694922E-2</v>
      </c>
      <c r="F852" s="56">
        <f>Pinus[[#This Row],[gi_m²]]*Pinus[[#This Row],[h_m]]*0.45</f>
        <v>0.28887469439342994</v>
      </c>
    </row>
    <row r="853" spans="1:6" x14ac:dyDescent="0.3">
      <c r="A853" s="37">
        <v>9</v>
      </c>
      <c r="B853" s="37">
        <v>52</v>
      </c>
      <c r="C853" s="55">
        <v>19.61</v>
      </c>
      <c r="D853" s="55">
        <v>15.92</v>
      </c>
      <c r="E853" s="56">
        <f>(PI()*(Pinus[[#This Row],[d_cm]]^2))/40000</f>
        <v>3.0202651307063188E-2</v>
      </c>
      <c r="F853" s="56">
        <f>Pinus[[#This Row],[gi_m²]]*Pinus[[#This Row],[h_m]]*0.45</f>
        <v>0.21637179396380068</v>
      </c>
    </row>
    <row r="854" spans="1:6" x14ac:dyDescent="0.3">
      <c r="A854" s="37">
        <v>9</v>
      </c>
      <c r="B854" s="37">
        <v>53</v>
      </c>
      <c r="C854" s="55">
        <v>24.07</v>
      </c>
      <c r="D854" s="55">
        <v>16.88</v>
      </c>
      <c r="E854" s="56">
        <f>(PI()*(Pinus[[#This Row],[d_cm]]^2))/40000</f>
        <v>4.5503212839694628E-2</v>
      </c>
      <c r="F854" s="56">
        <f>Pinus[[#This Row],[gi_m²]]*Pinus[[#This Row],[h_m]]*0.45</f>
        <v>0.34564240473032037</v>
      </c>
    </row>
    <row r="855" spans="1:6" x14ac:dyDescent="0.3">
      <c r="A855" s="37">
        <v>9</v>
      </c>
      <c r="B855" s="37">
        <v>54</v>
      </c>
      <c r="C855" s="55">
        <v>15.38</v>
      </c>
      <c r="D855" s="55">
        <v>14.78</v>
      </c>
      <c r="E855" s="56">
        <f>(PI()*(Pinus[[#This Row],[d_cm]]^2))/40000</f>
        <v>1.8578153732195138E-2</v>
      </c>
      <c r="F855" s="56">
        <f>Pinus[[#This Row],[gi_m²]]*Pinus[[#This Row],[h_m]]*0.45</f>
        <v>0.12356330047282986</v>
      </c>
    </row>
    <row r="856" spans="1:6" x14ac:dyDescent="0.3">
      <c r="A856" s="37">
        <v>9</v>
      </c>
      <c r="B856" s="37">
        <v>55</v>
      </c>
      <c r="C856" s="55">
        <v>29.28</v>
      </c>
      <c r="D856" s="55">
        <v>17.79</v>
      </c>
      <c r="E856" s="56">
        <f>(PI()*(Pinus[[#This Row],[d_cm]]^2))/40000</f>
        <v>6.733362968068389E-2</v>
      </c>
      <c r="F856" s="56">
        <f>Pinus[[#This Row],[gi_m²]]*Pinus[[#This Row],[h_m]]*0.45</f>
        <v>0.53903937240871491</v>
      </c>
    </row>
    <row r="857" spans="1:6" x14ac:dyDescent="0.3">
      <c r="A857" s="37">
        <v>9</v>
      </c>
      <c r="B857" s="37">
        <v>56</v>
      </c>
      <c r="C857" s="55">
        <v>17.59</v>
      </c>
      <c r="D857" s="55">
        <v>15.41</v>
      </c>
      <c r="E857" s="56">
        <f>(PI()*(Pinus[[#This Row],[d_cm]]^2))/40000</f>
        <v>2.43008553480294E-2</v>
      </c>
      <c r="F857" s="56">
        <f>Pinus[[#This Row],[gi_m²]]*Pinus[[#This Row],[h_m]]*0.45</f>
        <v>0.16851428141090988</v>
      </c>
    </row>
    <row r="858" spans="1:6" x14ac:dyDescent="0.3">
      <c r="A858" s="37">
        <v>9</v>
      </c>
      <c r="B858" s="37">
        <v>57</v>
      </c>
      <c r="C858" s="55">
        <v>14.16</v>
      </c>
      <c r="D858" s="55">
        <v>14.4</v>
      </c>
      <c r="E858" s="56">
        <f>(PI()*(Pinus[[#This Row],[d_cm]]^2))/40000</f>
        <v>1.5747672999090342E-2</v>
      </c>
      <c r="F858" s="56">
        <f>Pinus[[#This Row],[gi_m²]]*Pinus[[#This Row],[h_m]]*0.45</f>
        <v>0.10204492103410542</v>
      </c>
    </row>
    <row r="859" spans="1:6" x14ac:dyDescent="0.3">
      <c r="A859" s="37">
        <v>9</v>
      </c>
      <c r="B859" s="37">
        <v>58</v>
      </c>
      <c r="C859" s="55">
        <v>18.600000000000001</v>
      </c>
      <c r="D859" s="55">
        <v>15.67</v>
      </c>
      <c r="E859" s="56">
        <f>(PI()*(Pinus[[#This Row],[d_cm]]^2))/40000</f>
        <v>2.717163486089812E-2</v>
      </c>
      <c r="F859" s="56">
        <f>Pinus[[#This Row],[gi_m²]]*Pinus[[#This Row],[h_m]]*0.45</f>
        <v>0.19160078322162311</v>
      </c>
    </row>
    <row r="860" spans="1:6" x14ac:dyDescent="0.3">
      <c r="A860" s="37">
        <v>9</v>
      </c>
      <c r="B860" s="37">
        <v>59</v>
      </c>
      <c r="C860" s="55">
        <v>20.59</v>
      </c>
      <c r="D860" s="55">
        <v>16.149999999999999</v>
      </c>
      <c r="E860" s="56">
        <f>(PI()*(Pinus[[#This Row],[d_cm]]^2))/40000</f>
        <v>3.3296805911583779E-2</v>
      </c>
      <c r="F860" s="56">
        <f>Pinus[[#This Row],[gi_m²]]*Pinus[[#This Row],[h_m]]*0.45</f>
        <v>0.24198453696243513</v>
      </c>
    </row>
    <row r="861" spans="1:6" x14ac:dyDescent="0.3">
      <c r="A861" s="37">
        <v>9</v>
      </c>
      <c r="B861" s="37">
        <v>60</v>
      </c>
      <c r="C861" s="55">
        <v>26.49</v>
      </c>
      <c r="D861" s="55">
        <v>17.32</v>
      </c>
      <c r="E861" s="56">
        <f>(PI()*(Pinus[[#This Row],[d_cm]]^2))/40000</f>
        <v>5.5112967775907365E-2</v>
      </c>
      <c r="F861" s="56">
        <f>Pinus[[#This Row],[gi_m²]]*Pinus[[#This Row],[h_m]]*0.45</f>
        <v>0.42955047084542203</v>
      </c>
    </row>
    <row r="862" spans="1:6" x14ac:dyDescent="0.3">
      <c r="A862" s="37">
        <v>9</v>
      </c>
      <c r="B862" s="37">
        <v>61</v>
      </c>
      <c r="C862" s="55">
        <v>23.64</v>
      </c>
      <c r="D862" s="55">
        <v>16.79</v>
      </c>
      <c r="E862" s="56">
        <f>(PI()*(Pinus[[#This Row],[d_cm]]^2))/40000</f>
        <v>4.3891944945539857E-2</v>
      </c>
      <c r="F862" s="56">
        <f>Pinus[[#This Row],[gi_m²]]*Pinus[[#This Row],[h_m]]*0.45</f>
        <v>0.33162559003602637</v>
      </c>
    </row>
    <row r="863" spans="1:6" x14ac:dyDescent="0.3">
      <c r="A863" s="37">
        <v>9</v>
      </c>
      <c r="B863" s="37">
        <v>62</v>
      </c>
      <c r="C863" s="55">
        <v>20.57</v>
      </c>
      <c r="D863" s="55">
        <v>16.14</v>
      </c>
      <c r="E863" s="56">
        <f>(PI()*(Pinus[[#This Row],[d_cm]]^2))/40000</f>
        <v>3.3232151934772899E-2</v>
      </c>
      <c r="F863" s="56">
        <f>Pinus[[#This Row],[gi_m²]]*Pinus[[#This Row],[h_m]]*0.45</f>
        <v>0.24136511950225559</v>
      </c>
    </row>
    <row r="864" spans="1:6" x14ac:dyDescent="0.3">
      <c r="A864" s="37">
        <v>9</v>
      </c>
      <c r="B864" s="37">
        <v>63</v>
      </c>
      <c r="C864" s="55">
        <v>14.44</v>
      </c>
      <c r="D864" s="55">
        <v>14.49</v>
      </c>
      <c r="E864" s="56">
        <f>(PI()*(Pinus[[#This Row],[d_cm]]^2))/40000</f>
        <v>1.6376619848339016E-2</v>
      </c>
      <c r="F864" s="56">
        <f>Pinus[[#This Row],[gi_m²]]*Pinus[[#This Row],[h_m]]*0.45</f>
        <v>0.10678374972109456</v>
      </c>
    </row>
    <row r="865" spans="1:6" x14ac:dyDescent="0.3">
      <c r="A865" s="37">
        <v>9</v>
      </c>
      <c r="B865" s="37">
        <v>64</v>
      </c>
      <c r="C865" s="55">
        <v>16.54</v>
      </c>
      <c r="D865" s="55">
        <v>15.12</v>
      </c>
      <c r="E865" s="56">
        <f>(PI()*(Pinus[[#This Row],[d_cm]]^2))/40000</f>
        <v>2.1486263219770135E-2</v>
      </c>
      <c r="F865" s="56">
        <f>Pinus[[#This Row],[gi_m²]]*Pinus[[#This Row],[h_m]]*0.45</f>
        <v>0.14619253494731599</v>
      </c>
    </row>
    <row r="866" spans="1:6" x14ac:dyDescent="0.3">
      <c r="A866" s="37">
        <v>9</v>
      </c>
      <c r="B866" s="37">
        <v>65</v>
      </c>
      <c r="C866" s="55">
        <v>19.350000000000001</v>
      </c>
      <c r="D866" s="55">
        <v>15.86</v>
      </c>
      <c r="E866" s="56">
        <f>(PI()*(Pinus[[#This Row],[d_cm]]^2))/40000</f>
        <v>2.9407074383468113E-2</v>
      </c>
      <c r="F866" s="56">
        <f>Pinus[[#This Row],[gi_m²]]*Pinus[[#This Row],[h_m]]*0.45</f>
        <v>0.20987828987481191</v>
      </c>
    </row>
    <row r="867" spans="1:6" x14ac:dyDescent="0.3">
      <c r="A867" s="37">
        <v>9</v>
      </c>
      <c r="B867" s="37">
        <v>66</v>
      </c>
      <c r="C867" s="55">
        <v>30.21</v>
      </c>
      <c r="D867" s="55">
        <v>17.940000000000001</v>
      </c>
      <c r="E867" s="56">
        <f>(PI()*(Pinus[[#This Row],[d_cm]]^2))/40000</f>
        <v>7.1678899997551712E-2</v>
      </c>
      <c r="F867" s="56">
        <f>Pinus[[#This Row],[gi_m²]]*Pinus[[#This Row],[h_m]]*0.45</f>
        <v>0.57866375968023498</v>
      </c>
    </row>
    <row r="868" spans="1:6" x14ac:dyDescent="0.3">
      <c r="A868" s="37">
        <v>9</v>
      </c>
      <c r="B868" s="37">
        <v>67</v>
      </c>
      <c r="C868" s="55">
        <v>12.56</v>
      </c>
      <c r="D868" s="55">
        <v>13.84</v>
      </c>
      <c r="E868" s="56">
        <f>(PI()*(Pinus[[#This Row],[d_cm]]^2))/40000</f>
        <v>1.238993877093357E-2</v>
      </c>
      <c r="F868" s="56">
        <f>Pinus[[#This Row],[gi_m²]]*Pinus[[#This Row],[h_m]]*0.45</f>
        <v>7.7164538665374274E-2</v>
      </c>
    </row>
    <row r="869" spans="1:6" x14ac:dyDescent="0.3">
      <c r="A869" s="37">
        <v>9</v>
      </c>
      <c r="B869" s="37">
        <v>68</v>
      </c>
      <c r="C869" s="55">
        <v>24.52</v>
      </c>
      <c r="D869" s="55">
        <v>16.96</v>
      </c>
      <c r="E869" s="56">
        <f>(PI()*(Pinus[[#This Row],[d_cm]]^2))/40000</f>
        <v>4.7220525193871321E-2</v>
      </c>
      <c r="F869" s="56">
        <f>Pinus[[#This Row],[gi_m²]]*Pinus[[#This Row],[h_m]]*0.45</f>
        <v>0.36038704827962598</v>
      </c>
    </row>
    <row r="870" spans="1:6" x14ac:dyDescent="0.3">
      <c r="A870" s="37">
        <v>9</v>
      </c>
      <c r="B870" s="37">
        <v>69</v>
      </c>
      <c r="C870" s="55">
        <v>17.89</v>
      </c>
      <c r="D870" s="55">
        <v>15.49</v>
      </c>
      <c r="E870" s="56">
        <f>(PI()*(Pinus[[#This Row],[d_cm]]^2))/40000</f>
        <v>2.5136833153149647E-2</v>
      </c>
      <c r="F870" s="56">
        <f>Pinus[[#This Row],[gi_m²]]*Pinus[[#This Row],[h_m]]*0.45</f>
        <v>0.17521629549402962</v>
      </c>
    </row>
    <row r="871" spans="1:6" x14ac:dyDescent="0.3">
      <c r="A871" s="37">
        <v>9</v>
      </c>
      <c r="B871" s="37">
        <v>70</v>
      </c>
      <c r="C871" s="55">
        <v>26.66</v>
      </c>
      <c r="D871" s="55">
        <v>17.350000000000001</v>
      </c>
      <c r="E871" s="56">
        <f>(PI()*(Pinus[[#This Row],[d_cm]]^2))/40000</f>
        <v>5.5822614286445138E-2</v>
      </c>
      <c r="F871" s="56">
        <f>Pinus[[#This Row],[gi_m²]]*Pinus[[#This Row],[h_m]]*0.45</f>
        <v>0.43583506104142045</v>
      </c>
    </row>
    <row r="872" spans="1:6" x14ac:dyDescent="0.3">
      <c r="A872" s="37">
        <v>9</v>
      </c>
      <c r="B872" s="37">
        <v>71</v>
      </c>
      <c r="C872" s="55">
        <v>15.44</v>
      </c>
      <c r="D872" s="55">
        <v>14.8</v>
      </c>
      <c r="E872" s="56">
        <f>(PI()*(Pinus[[#This Row],[d_cm]]^2))/40000</f>
        <v>1.8723389560570593E-2</v>
      </c>
      <c r="F872" s="56">
        <f>Pinus[[#This Row],[gi_m²]]*Pinus[[#This Row],[h_m]]*0.45</f>
        <v>0.12469777447340016</v>
      </c>
    </row>
    <row r="873" spans="1:6" x14ac:dyDescent="0.3">
      <c r="A873" s="37">
        <v>9</v>
      </c>
      <c r="B873" s="37">
        <v>72</v>
      </c>
      <c r="C873" s="55">
        <v>20.57</v>
      </c>
      <c r="D873" s="55">
        <v>16.14</v>
      </c>
      <c r="E873" s="56">
        <f>(PI()*(Pinus[[#This Row],[d_cm]]^2))/40000</f>
        <v>3.3232151934772899E-2</v>
      </c>
      <c r="F873" s="56">
        <f>Pinus[[#This Row],[gi_m²]]*Pinus[[#This Row],[h_m]]*0.45</f>
        <v>0.24136511950225559</v>
      </c>
    </row>
    <row r="874" spans="1:6" x14ac:dyDescent="0.3">
      <c r="A874" s="37">
        <v>9</v>
      </c>
      <c r="B874" s="37">
        <v>73</v>
      </c>
      <c r="C874" s="55">
        <v>15.6</v>
      </c>
      <c r="D874" s="55">
        <v>14.85</v>
      </c>
      <c r="E874" s="56">
        <f>(PI()*(Pinus[[#This Row],[d_cm]]^2))/40000</f>
        <v>1.9113449704440299E-2</v>
      </c>
      <c r="F874" s="56">
        <f>Pinus[[#This Row],[gi_m²]]*Pinus[[#This Row],[h_m]]*0.45</f>
        <v>0.12772562764992229</v>
      </c>
    </row>
    <row r="875" spans="1:6" x14ac:dyDescent="0.3">
      <c r="A875" s="37">
        <v>9</v>
      </c>
      <c r="B875" s="37">
        <v>74</v>
      </c>
      <c r="C875" s="55">
        <v>23.61</v>
      </c>
      <c r="D875" s="55">
        <v>16.79</v>
      </c>
      <c r="E875" s="56">
        <f>(PI()*(Pinus[[#This Row],[d_cm]]^2))/40000</f>
        <v>4.3780614755878272E-2</v>
      </c>
      <c r="F875" s="56">
        <f>Pinus[[#This Row],[gi_m²]]*Pinus[[#This Row],[h_m]]*0.45</f>
        <v>0.33078443478803832</v>
      </c>
    </row>
    <row r="876" spans="1:6" x14ac:dyDescent="0.3">
      <c r="A876" s="37">
        <v>9</v>
      </c>
      <c r="B876" s="37">
        <v>75</v>
      </c>
      <c r="C876" s="55">
        <v>25.94</v>
      </c>
      <c r="D876" s="55">
        <v>17.23</v>
      </c>
      <c r="E876" s="56">
        <f>(PI()*(Pinus[[#This Row],[d_cm]]^2))/40000</f>
        <v>5.2848154362026334E-2</v>
      </c>
      <c r="F876" s="56">
        <f>Pinus[[#This Row],[gi_m²]]*Pinus[[#This Row],[h_m]]*0.45</f>
        <v>0.40975816484597116</v>
      </c>
    </row>
    <row r="877" spans="1:6" x14ac:dyDescent="0.3">
      <c r="A877" s="37">
        <v>9</v>
      </c>
      <c r="B877" s="37">
        <v>76</v>
      </c>
      <c r="C877" s="55">
        <v>27.8</v>
      </c>
      <c r="D877" s="55">
        <v>17.55</v>
      </c>
      <c r="E877" s="56">
        <f>(PI()*(Pinus[[#This Row],[d_cm]]^2))/40000</f>
        <v>6.0698711660008391E-2</v>
      </c>
      <c r="F877" s="56">
        <f>Pinus[[#This Row],[gi_m²]]*Pinus[[#This Row],[h_m]]*0.45</f>
        <v>0.47936807533491627</v>
      </c>
    </row>
    <row r="878" spans="1:6" x14ac:dyDescent="0.3">
      <c r="A878" s="37">
        <v>9</v>
      </c>
      <c r="B878" s="37">
        <v>77</v>
      </c>
      <c r="C878" s="55">
        <v>23.19</v>
      </c>
      <c r="D878" s="55">
        <v>16.7</v>
      </c>
      <c r="E878" s="56">
        <f>(PI()*(Pinus[[#This Row],[d_cm]]^2))/40000</f>
        <v>4.2236836125904252E-2</v>
      </c>
      <c r="F878" s="56">
        <f>Pinus[[#This Row],[gi_m²]]*Pinus[[#This Row],[h_m]]*0.45</f>
        <v>0.31740982348617042</v>
      </c>
    </row>
    <row r="879" spans="1:6" x14ac:dyDescent="0.3">
      <c r="A879" s="37">
        <v>9</v>
      </c>
      <c r="B879" s="37">
        <v>78</v>
      </c>
      <c r="C879" s="55">
        <v>27.37</v>
      </c>
      <c r="D879" s="55">
        <v>17.48</v>
      </c>
      <c r="E879" s="56">
        <f>(PI()*(Pinus[[#This Row],[d_cm]]^2))/40000</f>
        <v>5.8835503742999007E-2</v>
      </c>
      <c r="F879" s="56">
        <f>Pinus[[#This Row],[gi_m²]]*Pinus[[#This Row],[h_m]]*0.45</f>
        <v>0.46280007244243021</v>
      </c>
    </row>
    <row r="880" spans="1:6" x14ac:dyDescent="0.3">
      <c r="A880" s="37">
        <v>9</v>
      </c>
      <c r="B880" s="37">
        <v>79</v>
      </c>
      <c r="C880" s="55">
        <v>24.99</v>
      </c>
      <c r="D880" s="55">
        <v>17.05</v>
      </c>
      <c r="E880" s="56">
        <f>(PI()*(Pinus[[#This Row],[d_cm]]^2))/40000</f>
        <v>4.9048123158152275E-2</v>
      </c>
      <c r="F880" s="56">
        <f>Pinus[[#This Row],[gi_m²]]*Pinus[[#This Row],[h_m]]*0.45</f>
        <v>0.37632172493092336</v>
      </c>
    </row>
    <row r="881" spans="1:6" x14ac:dyDescent="0.3">
      <c r="A881" s="37">
        <v>9</v>
      </c>
      <c r="B881" s="37">
        <v>80</v>
      </c>
      <c r="C881" s="55">
        <v>19.47</v>
      </c>
      <c r="D881" s="55">
        <v>15.89</v>
      </c>
      <c r="E881" s="56">
        <f>(PI()*(Pinus[[#This Row],[d_cm]]^2))/40000</f>
        <v>2.9772944263905168E-2</v>
      </c>
      <c r="F881" s="56">
        <f>Pinus[[#This Row],[gi_m²]]*Pinus[[#This Row],[h_m]]*0.45</f>
        <v>0.21289143795905391</v>
      </c>
    </row>
    <row r="882" spans="1:6" x14ac:dyDescent="0.3">
      <c r="A882" s="37">
        <v>9</v>
      </c>
      <c r="B882" s="37">
        <v>81</v>
      </c>
      <c r="C882" s="55">
        <v>21.91</v>
      </c>
      <c r="D882" s="55">
        <v>16.440000000000001</v>
      </c>
      <c r="E882" s="56">
        <f>(PI()*(Pinus[[#This Row],[d_cm]]^2))/40000</f>
        <v>3.7702889608243466E-2</v>
      </c>
      <c r="F882" s="56">
        <f>Pinus[[#This Row],[gi_m²]]*Pinus[[#This Row],[h_m]]*0.45</f>
        <v>0.2789259773217852</v>
      </c>
    </row>
    <row r="883" spans="1:6" x14ac:dyDescent="0.3">
      <c r="A883" s="37">
        <v>9</v>
      </c>
      <c r="B883" s="37">
        <v>82</v>
      </c>
      <c r="C883" s="55">
        <v>16.11</v>
      </c>
      <c r="D883" s="55">
        <v>15</v>
      </c>
      <c r="E883" s="56">
        <f>(PI()*(Pinus[[#This Row],[d_cm]]^2))/40000</f>
        <v>2.0383603468268285E-2</v>
      </c>
      <c r="F883" s="56">
        <f>Pinus[[#This Row],[gi_m²]]*Pinus[[#This Row],[h_m]]*0.45</f>
        <v>0.13758932341081093</v>
      </c>
    </row>
    <row r="884" spans="1:6" x14ac:dyDescent="0.3">
      <c r="A884" s="37">
        <v>9</v>
      </c>
      <c r="B884" s="37">
        <v>83</v>
      </c>
      <c r="C884" s="55">
        <v>19.260000000000002</v>
      </c>
      <c r="D884" s="55">
        <v>15.84</v>
      </c>
      <c r="E884" s="56">
        <f>(PI()*(Pinus[[#This Row],[d_cm]]^2))/40000</f>
        <v>2.9134156375669136E-2</v>
      </c>
      <c r="F884" s="56">
        <f>Pinus[[#This Row],[gi_m²]]*Pinus[[#This Row],[h_m]]*0.45</f>
        <v>0.20766826664576959</v>
      </c>
    </row>
    <row r="885" spans="1:6" x14ac:dyDescent="0.3">
      <c r="A885" s="37">
        <v>9</v>
      </c>
      <c r="B885" s="37">
        <v>84</v>
      </c>
      <c r="C885" s="55">
        <v>24.88</v>
      </c>
      <c r="D885" s="55">
        <v>17.03</v>
      </c>
      <c r="E885" s="56">
        <f>(PI()*(Pinus[[#This Row],[d_cm]]^2))/40000</f>
        <v>4.8617277287657336E-2</v>
      </c>
      <c r="F885" s="56">
        <f>Pinus[[#This Row],[gi_m²]]*Pinus[[#This Row],[h_m]]*0.45</f>
        <v>0.37257850449396207</v>
      </c>
    </row>
    <row r="886" spans="1:6" x14ac:dyDescent="0.3">
      <c r="A886" s="37">
        <v>9</v>
      </c>
      <c r="B886" s="37">
        <v>85</v>
      </c>
      <c r="C886" s="55">
        <v>22.17</v>
      </c>
      <c r="D886" s="55">
        <v>16.489999999999998</v>
      </c>
      <c r="E886" s="56">
        <f>(PI()*(Pinus[[#This Row],[d_cm]]^2))/40000</f>
        <v>3.8603018735350013E-2</v>
      </c>
      <c r="F886" s="56">
        <f>Pinus[[#This Row],[gi_m²]]*Pinus[[#This Row],[h_m]]*0.45</f>
        <v>0.28645370052566477</v>
      </c>
    </row>
    <row r="887" spans="1:6" x14ac:dyDescent="0.3">
      <c r="A887" s="37">
        <v>9</v>
      </c>
      <c r="B887" s="37">
        <v>86</v>
      </c>
      <c r="C887" s="55">
        <v>21.83</v>
      </c>
      <c r="D887" s="55">
        <v>16.420000000000002</v>
      </c>
      <c r="E887" s="56">
        <f>(PI()*(Pinus[[#This Row],[d_cm]]^2))/40000</f>
        <v>3.7428063082907422E-2</v>
      </c>
      <c r="F887" s="56">
        <f>Pinus[[#This Row],[gi_m²]]*Pinus[[#This Row],[h_m]]*0.45</f>
        <v>0.27655595811960298</v>
      </c>
    </row>
    <row r="888" spans="1:6" x14ac:dyDescent="0.3">
      <c r="A888" s="37">
        <v>9</v>
      </c>
      <c r="B888" s="37">
        <v>87</v>
      </c>
      <c r="C888" s="55">
        <v>15.85</v>
      </c>
      <c r="D888" s="55">
        <v>14.93</v>
      </c>
      <c r="E888" s="56">
        <f>(PI()*(Pinus[[#This Row],[d_cm]]^2))/40000</f>
        <v>1.9730969010411544E-2</v>
      </c>
      <c r="F888" s="56">
        <f>Pinus[[#This Row],[gi_m²]]*Pinus[[#This Row],[h_m]]*0.45</f>
        <v>0.13256251529644994</v>
      </c>
    </row>
    <row r="889" spans="1:6" x14ac:dyDescent="0.3">
      <c r="A889" s="37">
        <v>9</v>
      </c>
      <c r="B889" s="37">
        <v>88</v>
      </c>
      <c r="C889" s="55">
        <v>17.579999999999998</v>
      </c>
      <c r="D889" s="55">
        <v>15.41</v>
      </c>
      <c r="E889" s="56">
        <f>(PI()*(Pinus[[#This Row],[d_cm]]^2))/40000</f>
        <v>2.4273232894622708E-2</v>
      </c>
      <c r="F889" s="56">
        <f>Pinus[[#This Row],[gi_m²]]*Pinus[[#This Row],[h_m]]*0.45</f>
        <v>0.16832273350776117</v>
      </c>
    </row>
    <row r="890" spans="1:6" x14ac:dyDescent="0.3">
      <c r="A890" s="37">
        <v>9</v>
      </c>
      <c r="B890" s="37">
        <v>89</v>
      </c>
      <c r="C890" s="55">
        <v>16.940000000000001</v>
      </c>
      <c r="D890" s="55">
        <v>15.24</v>
      </c>
      <c r="E890" s="56">
        <f>(PI()*(Pinus[[#This Row],[d_cm]]^2))/40000</f>
        <v>2.2538068440192002E-2</v>
      </c>
      <c r="F890" s="56">
        <f>Pinus[[#This Row],[gi_m²]]*Pinus[[#This Row],[h_m]]*0.45</f>
        <v>0.15456607336283676</v>
      </c>
    </row>
    <row r="891" spans="1:6" x14ac:dyDescent="0.3">
      <c r="A891" s="37">
        <v>9</v>
      </c>
      <c r="B891" s="37">
        <v>90</v>
      </c>
      <c r="C891" s="55">
        <v>21.58</v>
      </c>
      <c r="D891" s="55">
        <v>16.37</v>
      </c>
      <c r="E891" s="56">
        <f>(PI()*(Pinus[[#This Row],[d_cm]]^2))/40000</f>
        <v>3.657570972608034E-2</v>
      </c>
      <c r="F891" s="56">
        <f>Pinus[[#This Row],[gi_m²]]*Pinus[[#This Row],[h_m]]*0.45</f>
        <v>0.26943496569717085</v>
      </c>
    </row>
    <row r="892" spans="1:6" x14ac:dyDescent="0.3">
      <c r="A892" s="37">
        <v>9</v>
      </c>
      <c r="B892" s="37">
        <v>91</v>
      </c>
      <c r="C892" s="55">
        <v>16.04</v>
      </c>
      <c r="D892" s="55">
        <v>14.98</v>
      </c>
      <c r="E892" s="56">
        <f>(PI()*(Pinus[[#This Row],[d_cm]]^2))/40000</f>
        <v>2.0206849611595693E-2</v>
      </c>
      <c r="F892" s="56">
        <f>Pinus[[#This Row],[gi_m²]]*Pinus[[#This Row],[h_m]]*0.45</f>
        <v>0.13621437323176658</v>
      </c>
    </row>
    <row r="893" spans="1:6" x14ac:dyDescent="0.3">
      <c r="A893" s="37">
        <v>9</v>
      </c>
      <c r="B893" s="37">
        <v>92</v>
      </c>
      <c r="C893" s="55">
        <v>22.25</v>
      </c>
      <c r="D893" s="55">
        <v>16.510000000000002</v>
      </c>
      <c r="E893" s="56">
        <f>(PI()*(Pinus[[#This Row],[d_cm]]^2))/40000</f>
        <v>3.8882117826694922E-2</v>
      </c>
      <c r="F893" s="56">
        <f>Pinus[[#This Row],[gi_m²]]*Pinus[[#This Row],[h_m]]*0.45</f>
        <v>0.28887469439342994</v>
      </c>
    </row>
    <row r="894" spans="1:6" x14ac:dyDescent="0.3">
      <c r="A894" s="37">
        <v>9</v>
      </c>
      <c r="B894" s="37">
        <v>93</v>
      </c>
      <c r="C894" s="55">
        <v>15.53</v>
      </c>
      <c r="D894" s="55">
        <v>14.83</v>
      </c>
      <c r="E894" s="56">
        <f>(PI()*(Pinus[[#This Row],[d_cm]]^2))/40000</f>
        <v>1.8942303590654363E-2</v>
      </c>
      <c r="F894" s="56">
        <f>Pinus[[#This Row],[gi_m²]]*Pinus[[#This Row],[h_m]]*0.45</f>
        <v>0.12641146301223188</v>
      </c>
    </row>
    <row r="895" spans="1:6" x14ac:dyDescent="0.3">
      <c r="A895" s="37">
        <v>9</v>
      </c>
      <c r="B895" s="37">
        <v>94</v>
      </c>
      <c r="C895" s="55">
        <v>27.31</v>
      </c>
      <c r="D895" s="55">
        <v>17.47</v>
      </c>
      <c r="E895" s="56">
        <f>(PI()*(Pinus[[#This Row],[d_cm]]^2))/40000</f>
        <v>5.8577830313551543E-2</v>
      </c>
      <c r="F895" s="56">
        <f>Pinus[[#This Row],[gi_m²]]*Pinus[[#This Row],[h_m]]*0.45</f>
        <v>0.4605096130099855</v>
      </c>
    </row>
    <row r="896" spans="1:6" x14ac:dyDescent="0.3">
      <c r="A896" s="37">
        <v>9</v>
      </c>
      <c r="B896" s="37">
        <v>95</v>
      </c>
      <c r="C896" s="55">
        <v>21.84</v>
      </c>
      <c r="D896" s="55">
        <v>16.420000000000002</v>
      </c>
      <c r="E896" s="56">
        <f>(PI()*(Pinus[[#This Row],[d_cm]]^2))/40000</f>
        <v>3.7462361420702993E-2</v>
      </c>
      <c r="F896" s="56">
        <f>Pinus[[#This Row],[gi_m²]]*Pinus[[#This Row],[h_m]]*0.45</f>
        <v>0.27680938853757447</v>
      </c>
    </row>
    <row r="897" spans="1:6" x14ac:dyDescent="0.3">
      <c r="A897" s="37">
        <v>9</v>
      </c>
      <c r="B897" s="37">
        <v>96</v>
      </c>
      <c r="C897" s="55">
        <v>17.2</v>
      </c>
      <c r="D897" s="55">
        <v>15.31</v>
      </c>
      <c r="E897" s="56">
        <f>(PI()*(Pinus[[#This Row],[d_cm]]^2))/40000</f>
        <v>2.3235219265950107E-2</v>
      </c>
      <c r="F897" s="56">
        <f>Pinus[[#This Row],[gi_m²]]*Pinus[[#This Row],[h_m]]*0.45</f>
        <v>0.16007904313276328</v>
      </c>
    </row>
    <row r="898" spans="1:6" x14ac:dyDescent="0.3">
      <c r="A898" s="37">
        <v>9</v>
      </c>
      <c r="B898" s="37">
        <v>97</v>
      </c>
      <c r="C898" s="55">
        <v>20.96</v>
      </c>
      <c r="D898" s="55">
        <v>16.23</v>
      </c>
      <c r="E898" s="56">
        <f>(PI()*(Pinus[[#This Row],[d_cm]]^2))/40000</f>
        <v>3.4504237778082848E-2</v>
      </c>
      <c r="F898" s="56">
        <f>Pinus[[#This Row],[gi_m²]]*Pinus[[#This Row],[h_m]]*0.45</f>
        <v>0.2520017006122281</v>
      </c>
    </row>
    <row r="899" spans="1:6" x14ac:dyDescent="0.3">
      <c r="A899" s="37">
        <v>9</v>
      </c>
      <c r="B899" s="37">
        <v>98</v>
      </c>
      <c r="C899" s="55">
        <v>18.59</v>
      </c>
      <c r="D899" s="55">
        <v>15.67</v>
      </c>
      <c r="E899" s="56">
        <f>(PI()*(Pinus[[#This Row],[d_cm]]^2))/40000</f>
        <v>2.7142425903201369E-2</v>
      </c>
      <c r="F899" s="56">
        <f>Pinus[[#This Row],[gi_m²]]*Pinus[[#This Row],[h_m]]*0.45</f>
        <v>0.19139481625642446</v>
      </c>
    </row>
    <row r="900" spans="1:6" x14ac:dyDescent="0.3">
      <c r="A900" s="37">
        <v>9</v>
      </c>
      <c r="B900" s="37">
        <v>99</v>
      </c>
      <c r="C900" s="55">
        <v>21.48</v>
      </c>
      <c r="D900" s="55">
        <v>16.350000000000001</v>
      </c>
      <c r="E900" s="56">
        <f>(PI()*(Pinus[[#This Row],[d_cm]]^2))/40000</f>
        <v>3.6237517276921406E-2</v>
      </c>
      <c r="F900" s="56">
        <f>Pinus[[#This Row],[gi_m²]]*Pinus[[#This Row],[h_m]]*0.45</f>
        <v>0.26661753336494926</v>
      </c>
    </row>
    <row r="901" spans="1:6" x14ac:dyDescent="0.3">
      <c r="A901" s="37">
        <v>9</v>
      </c>
      <c r="B901" s="37">
        <v>100</v>
      </c>
      <c r="C901" s="55">
        <v>20.97</v>
      </c>
      <c r="D901" s="55">
        <v>16.23</v>
      </c>
      <c r="E901" s="56">
        <f>(PI()*(Pinus[[#This Row],[d_cm]]^2))/40000</f>
        <v>3.4537169523074097E-2</v>
      </c>
      <c r="F901" s="56">
        <f>Pinus[[#This Row],[gi_m²]]*Pinus[[#This Row],[h_m]]*0.45</f>
        <v>0.25224221761177168</v>
      </c>
    </row>
    <row r="902" spans="1:6" x14ac:dyDescent="0.3">
      <c r="A902" s="37">
        <v>10</v>
      </c>
      <c r="B902" s="37">
        <v>1</v>
      </c>
      <c r="C902" s="55">
        <v>15.94</v>
      </c>
      <c r="D902" s="55">
        <v>18.13</v>
      </c>
      <c r="E902" s="56">
        <f>(PI()*(Pinus[[#This Row],[d_cm]]^2))/40000</f>
        <v>1.9955679278941187E-2</v>
      </c>
      <c r="F902" s="56">
        <f>Pinus[[#This Row],[gi_m²]]*Pinus[[#This Row],[h_m]]*0.45</f>
        <v>0.16280840939724167</v>
      </c>
    </row>
    <row r="903" spans="1:6" x14ac:dyDescent="0.3">
      <c r="A903" s="37">
        <v>10</v>
      </c>
      <c r="B903" s="37">
        <v>2</v>
      </c>
      <c r="C903" s="55">
        <v>16.829999999999998</v>
      </c>
      <c r="D903" s="55">
        <v>18.440000000000001</v>
      </c>
      <c r="E903" s="56">
        <f>(PI()*(Pinus[[#This Row],[d_cm]]^2))/40000</f>
        <v>2.2246316584434742E-2</v>
      </c>
      <c r="F903" s="56">
        <f>Pinus[[#This Row],[gi_m²]]*Pinus[[#This Row],[h_m]]*0.45</f>
        <v>0.18459993501763949</v>
      </c>
    </row>
    <row r="904" spans="1:6" x14ac:dyDescent="0.3">
      <c r="A904" s="37">
        <v>10</v>
      </c>
      <c r="B904" s="37">
        <v>3</v>
      </c>
      <c r="C904" s="55">
        <v>21.2</v>
      </c>
      <c r="D904" s="55">
        <v>19.75</v>
      </c>
      <c r="E904" s="56">
        <f>(PI()*(Pinus[[#This Row],[d_cm]]^2))/40000</f>
        <v>3.5298935055734913E-2</v>
      </c>
      <c r="F904" s="56">
        <f>Pinus[[#This Row],[gi_m²]]*Pinus[[#This Row],[h_m]]*0.45</f>
        <v>0.31371928530784404</v>
      </c>
    </row>
    <row r="905" spans="1:6" x14ac:dyDescent="0.3">
      <c r="A905" s="37">
        <v>10</v>
      </c>
      <c r="B905" s="37">
        <v>4</v>
      </c>
      <c r="C905" s="55">
        <v>26.56</v>
      </c>
      <c r="D905" s="55">
        <v>21.02</v>
      </c>
      <c r="E905" s="56">
        <f>(PI()*(Pinus[[#This Row],[d_cm]]^2))/40000</f>
        <v>5.5404625383885013E-2</v>
      </c>
      <c r="F905" s="56">
        <f>Pinus[[#This Row],[gi_m²]]*Pinus[[#This Row],[h_m]]*0.45</f>
        <v>0.52407235150616838</v>
      </c>
    </row>
    <row r="906" spans="1:6" x14ac:dyDescent="0.3">
      <c r="A906" s="37">
        <v>10</v>
      </c>
      <c r="B906" s="37">
        <v>5</v>
      </c>
      <c r="C906" s="55">
        <v>24.34</v>
      </c>
      <c r="D906" s="55">
        <v>20.53</v>
      </c>
      <c r="E906" s="56">
        <f>(PI()*(Pinus[[#This Row],[d_cm]]^2))/40000</f>
        <v>4.652978321712653E-2</v>
      </c>
      <c r="F906" s="56">
        <f>Pinus[[#This Row],[gi_m²]]*Pinus[[#This Row],[h_m]]*0.45</f>
        <v>0.42986540225142345</v>
      </c>
    </row>
    <row r="907" spans="1:6" x14ac:dyDescent="0.3">
      <c r="A907" s="37">
        <v>10</v>
      </c>
      <c r="B907" s="37">
        <v>6</v>
      </c>
      <c r="C907" s="55">
        <v>17.5</v>
      </c>
      <c r="D907" s="55">
        <v>18.66</v>
      </c>
      <c r="E907" s="56">
        <f>(PI()*(Pinus[[#This Row],[d_cm]]^2))/40000</f>
        <v>2.4052818754046853E-2</v>
      </c>
      <c r="F907" s="56">
        <f>Pinus[[#This Row],[gi_m²]]*Pinus[[#This Row],[h_m]]*0.45</f>
        <v>0.20197151907773145</v>
      </c>
    </row>
    <row r="908" spans="1:6" x14ac:dyDescent="0.3">
      <c r="A908" s="37">
        <v>10</v>
      </c>
      <c r="B908" s="37">
        <v>7</v>
      </c>
      <c r="C908" s="55">
        <v>23.3</v>
      </c>
      <c r="D908" s="55">
        <v>20.28</v>
      </c>
      <c r="E908" s="56">
        <f>(PI()*(Pinus[[#This Row],[d_cm]]^2))/40000</f>
        <v>4.2638480892684065E-2</v>
      </c>
      <c r="F908" s="56">
        <f>Pinus[[#This Row],[gi_m²]]*Pinus[[#This Row],[h_m]]*0.45</f>
        <v>0.3891187766266348</v>
      </c>
    </row>
    <row r="909" spans="1:6" x14ac:dyDescent="0.3">
      <c r="A909" s="37">
        <v>10</v>
      </c>
      <c r="B909" s="37">
        <v>8</v>
      </c>
      <c r="C909" s="55">
        <v>19.809999999999999</v>
      </c>
      <c r="D909" s="55">
        <v>19.36</v>
      </c>
      <c r="E909" s="56">
        <f>(PI()*(Pinus[[#This Row],[d_cm]]^2))/40000</f>
        <v>3.0821859219085729E-2</v>
      </c>
      <c r="F909" s="56">
        <f>Pinus[[#This Row],[gi_m²]]*Pinus[[#This Row],[h_m]]*0.45</f>
        <v>0.26852003751667486</v>
      </c>
    </row>
    <row r="910" spans="1:6" x14ac:dyDescent="0.3">
      <c r="A910" s="37">
        <v>10</v>
      </c>
      <c r="B910" s="37">
        <v>9</v>
      </c>
      <c r="C910" s="55">
        <v>21.21</v>
      </c>
      <c r="D910" s="55">
        <v>19.75</v>
      </c>
      <c r="E910" s="56">
        <f>(PI()*(Pinus[[#This Row],[d_cm]]^2))/40000</f>
        <v>3.5332243791844603E-2</v>
      </c>
      <c r="F910" s="56">
        <f>Pinus[[#This Row],[gi_m²]]*Pinus[[#This Row],[h_m]]*0.45</f>
        <v>0.31401531670001892</v>
      </c>
    </row>
    <row r="911" spans="1:6" x14ac:dyDescent="0.3">
      <c r="A911" s="37">
        <v>10</v>
      </c>
      <c r="B911" s="37">
        <v>10</v>
      </c>
      <c r="C911" s="55">
        <v>21.04</v>
      </c>
      <c r="D911" s="55">
        <v>19.71</v>
      </c>
      <c r="E911" s="56">
        <f>(PI()*(Pinus[[#This Row],[d_cm]]^2))/40000</f>
        <v>3.4768131560984378E-2</v>
      </c>
      <c r="F911" s="56">
        <f>Pinus[[#This Row],[gi_m²]]*Pinus[[#This Row],[h_m]]*0.45</f>
        <v>0.30837594288015097</v>
      </c>
    </row>
    <row r="912" spans="1:6" x14ac:dyDescent="0.3">
      <c r="A912" s="37">
        <v>10</v>
      </c>
      <c r="B912" s="37">
        <v>11</v>
      </c>
      <c r="C912" s="55">
        <v>30.3</v>
      </c>
      <c r="D912" s="55">
        <v>21.77</v>
      </c>
      <c r="E912" s="56">
        <f>(PI()*(Pinus[[#This Row],[d_cm]]^2))/40000</f>
        <v>7.2106619983356338E-2</v>
      </c>
      <c r="F912" s="56">
        <f>Pinus[[#This Row],[gi_m²]]*Pinus[[#This Row],[h_m]]*0.45</f>
        <v>0.70639250266695042</v>
      </c>
    </row>
    <row r="913" spans="1:6" x14ac:dyDescent="0.3">
      <c r="A913" s="37">
        <v>10</v>
      </c>
      <c r="B913" s="37">
        <v>12</v>
      </c>
      <c r="C913" s="55">
        <v>15.26</v>
      </c>
      <c r="D913" s="55">
        <v>17.89</v>
      </c>
      <c r="E913" s="56">
        <f>(PI()*(Pinus[[#This Row],[d_cm]]^2))/40000</f>
        <v>1.8289378535477161E-2</v>
      </c>
      <c r="F913" s="56">
        <f>Pinus[[#This Row],[gi_m²]]*Pinus[[#This Row],[h_m]]*0.45</f>
        <v>0.14723864189985891</v>
      </c>
    </row>
    <row r="914" spans="1:6" x14ac:dyDescent="0.3">
      <c r="A914" s="37">
        <v>10</v>
      </c>
      <c r="B914" s="37">
        <v>13</v>
      </c>
      <c r="C914" s="55">
        <v>20.399999999999999</v>
      </c>
      <c r="D914" s="55">
        <v>19.53</v>
      </c>
      <c r="E914" s="56">
        <f>(PI()*(Pinus[[#This Row],[d_cm]]^2))/40000</f>
        <v>3.2685129967948208E-2</v>
      </c>
      <c r="F914" s="56">
        <f>Pinus[[#This Row],[gi_m²]]*Pinus[[#This Row],[h_m]]*0.45</f>
        <v>0.28725326472331286</v>
      </c>
    </row>
    <row r="915" spans="1:6" x14ac:dyDescent="0.3">
      <c r="A915" s="37">
        <v>10</v>
      </c>
      <c r="B915" s="37">
        <v>14</v>
      </c>
      <c r="C915" s="55">
        <v>12.88</v>
      </c>
      <c r="D915" s="55">
        <v>16.93</v>
      </c>
      <c r="E915" s="56">
        <f>(PI()*(Pinus[[#This Row],[d_cm]]^2))/40000</f>
        <v>1.3029315707792165E-2</v>
      </c>
      <c r="F915" s="56">
        <f>Pinus[[#This Row],[gi_m²]]*Pinus[[#This Row],[h_m]]*0.45</f>
        <v>9.9263841719814616E-2</v>
      </c>
    </row>
    <row r="916" spans="1:6" x14ac:dyDescent="0.3">
      <c r="A916" s="37">
        <v>10</v>
      </c>
      <c r="B916" s="37">
        <v>15</v>
      </c>
      <c r="C916" s="55">
        <v>22.36</v>
      </c>
      <c r="D916" s="55">
        <v>20.05</v>
      </c>
      <c r="E916" s="56">
        <f>(PI()*(Pinus[[#This Row],[d_cm]]^2))/40000</f>
        <v>3.9267520559455683E-2</v>
      </c>
      <c r="F916" s="56">
        <f>Pinus[[#This Row],[gi_m²]]*Pinus[[#This Row],[h_m]]*0.45</f>
        <v>0.3542912042476889</v>
      </c>
    </row>
    <row r="917" spans="1:6" x14ac:dyDescent="0.3">
      <c r="A917" s="37">
        <v>10</v>
      </c>
      <c r="B917" s="37">
        <v>16</v>
      </c>
      <c r="C917" s="55">
        <v>24.39</v>
      </c>
      <c r="D917" s="55">
        <v>20.54</v>
      </c>
      <c r="E917" s="56">
        <f>(PI()*(Pinus[[#This Row],[d_cm]]^2))/40000</f>
        <v>4.6721145479638321E-2</v>
      </c>
      <c r="F917" s="56">
        <f>Pinus[[#This Row],[gi_m²]]*Pinus[[#This Row],[h_m]]*0.45</f>
        <v>0.43184354766829697</v>
      </c>
    </row>
    <row r="918" spans="1:6" x14ac:dyDescent="0.3">
      <c r="A918" s="37">
        <v>10</v>
      </c>
      <c r="B918" s="37">
        <v>17</v>
      </c>
      <c r="C918" s="55">
        <v>25.78</v>
      </c>
      <c r="D918" s="55">
        <v>20.86</v>
      </c>
      <c r="E918" s="56">
        <f>(PI()*(Pinus[[#This Row],[d_cm]]^2))/40000</f>
        <v>5.2198221673851672E-2</v>
      </c>
      <c r="F918" s="56">
        <f>Pinus[[#This Row],[gi_m²]]*Pinus[[#This Row],[h_m]]*0.45</f>
        <v>0.48998470685244566</v>
      </c>
    </row>
    <row r="919" spans="1:6" x14ac:dyDescent="0.3">
      <c r="A919" s="37">
        <v>10</v>
      </c>
      <c r="B919" s="37">
        <v>18</v>
      </c>
      <c r="C919" s="55">
        <v>12.3</v>
      </c>
      <c r="D919" s="55">
        <v>16.66</v>
      </c>
      <c r="E919" s="56">
        <f>(PI()*(Pinus[[#This Row],[d_cm]]^2))/40000</f>
        <v>1.1882288814039996E-2</v>
      </c>
      <c r="F919" s="56">
        <f>Pinus[[#This Row],[gi_m²]]*Pinus[[#This Row],[h_m]]*0.45</f>
        <v>8.9081519238857848E-2</v>
      </c>
    </row>
    <row r="920" spans="1:6" x14ac:dyDescent="0.3">
      <c r="A920" s="37">
        <v>10</v>
      </c>
      <c r="B920" s="37">
        <v>19</v>
      </c>
      <c r="C920" s="55">
        <v>21.65</v>
      </c>
      <c r="D920" s="55">
        <v>19.87</v>
      </c>
      <c r="E920" s="56">
        <f>(PI()*(Pinus[[#This Row],[d_cm]]^2))/40000</f>
        <v>3.681337906430604E-2</v>
      </c>
      <c r="F920" s="56">
        <f>Pinus[[#This Row],[gi_m²]]*Pinus[[#This Row],[h_m]]*0.45</f>
        <v>0.32916682890349247</v>
      </c>
    </row>
    <row r="921" spans="1:6" x14ac:dyDescent="0.3">
      <c r="A921" s="37">
        <v>10</v>
      </c>
      <c r="B921" s="37">
        <v>20</v>
      </c>
      <c r="C921" s="55">
        <v>26.37</v>
      </c>
      <c r="D921" s="55">
        <v>20.98</v>
      </c>
      <c r="E921" s="56">
        <f>(PI()*(Pinus[[#This Row],[d_cm]]^2))/40000</f>
        <v>5.4614774012901116E-2</v>
      </c>
      <c r="F921" s="56">
        <f>Pinus[[#This Row],[gi_m²]]*Pinus[[#This Row],[h_m]]*0.45</f>
        <v>0.51561808145579946</v>
      </c>
    </row>
    <row r="922" spans="1:6" x14ac:dyDescent="0.3">
      <c r="A922" s="37">
        <v>10</v>
      </c>
      <c r="B922" s="37">
        <v>21</v>
      </c>
      <c r="C922" s="55">
        <v>18.34</v>
      </c>
      <c r="D922" s="55">
        <v>18.93</v>
      </c>
      <c r="E922" s="56">
        <f>(PI()*(Pinus[[#This Row],[d_cm]]^2))/40000</f>
        <v>2.6417307048844672E-2</v>
      </c>
      <c r="F922" s="56">
        <f>Pinus[[#This Row],[gi_m²]]*Pinus[[#This Row],[h_m]]*0.45</f>
        <v>0.22503583009558337</v>
      </c>
    </row>
    <row r="923" spans="1:6" x14ac:dyDescent="0.3">
      <c r="A923" s="37">
        <v>10</v>
      </c>
      <c r="B923" s="37">
        <v>22</v>
      </c>
      <c r="C923" s="55">
        <v>19.149999999999999</v>
      </c>
      <c r="D923" s="55">
        <v>19.170000000000002</v>
      </c>
      <c r="E923" s="56">
        <f>(PI()*(Pinus[[#This Row],[d_cm]]^2))/40000</f>
        <v>2.8802317797652067E-2</v>
      </c>
      <c r="F923" s="56">
        <f>Pinus[[#This Row],[gi_m²]]*Pinus[[#This Row],[h_m]]*0.45</f>
        <v>0.24846319448144558</v>
      </c>
    </row>
    <row r="924" spans="1:6" x14ac:dyDescent="0.3">
      <c r="A924" s="37">
        <v>10</v>
      </c>
      <c r="B924" s="37">
        <v>23</v>
      </c>
      <c r="C924" s="55">
        <v>19.850000000000001</v>
      </c>
      <c r="D924" s="55">
        <v>19.38</v>
      </c>
      <c r="E924" s="56">
        <f>(PI()*(Pinus[[#This Row],[d_cm]]^2))/40000</f>
        <v>3.0946454783727109E-2</v>
      </c>
      <c r="F924" s="56">
        <f>Pinus[[#This Row],[gi_m²]]*Pinus[[#This Row],[h_m]]*0.45</f>
        <v>0.26988403216888407</v>
      </c>
    </row>
    <row r="925" spans="1:6" x14ac:dyDescent="0.3">
      <c r="A925" s="37">
        <v>10</v>
      </c>
      <c r="B925" s="37">
        <v>24</v>
      </c>
      <c r="C925" s="55">
        <v>21.46</v>
      </c>
      <c r="D925" s="55">
        <v>19.82</v>
      </c>
      <c r="E925" s="56">
        <f>(PI()*(Pinus[[#This Row],[d_cm]]^2))/40000</f>
        <v>3.6170067282648828E-2</v>
      </c>
      <c r="F925" s="56">
        <f>Pinus[[#This Row],[gi_m²]]*Pinus[[#This Row],[h_m]]*0.45</f>
        <v>0.32260083009394491</v>
      </c>
    </row>
    <row r="926" spans="1:6" x14ac:dyDescent="0.3">
      <c r="A926" s="37">
        <v>10</v>
      </c>
      <c r="B926" s="37">
        <v>25</v>
      </c>
      <c r="C926" s="55">
        <v>22.66</v>
      </c>
      <c r="D926" s="55">
        <v>20.12</v>
      </c>
      <c r="E926" s="56">
        <f>(PI()*(Pinus[[#This Row],[d_cm]]^2))/40000</f>
        <v>4.0328279318940279E-2</v>
      </c>
      <c r="F926" s="56">
        <f>Pinus[[#This Row],[gi_m²]]*Pinus[[#This Row],[h_m]]*0.45</f>
        <v>0.36513224095368535</v>
      </c>
    </row>
    <row r="927" spans="1:6" x14ac:dyDescent="0.3">
      <c r="A927" s="37">
        <v>10</v>
      </c>
      <c r="B927" s="37">
        <v>26</v>
      </c>
      <c r="C927" s="55">
        <v>25.27</v>
      </c>
      <c r="D927" s="55">
        <v>20.74</v>
      </c>
      <c r="E927" s="56">
        <f>(PI()*(Pinus[[#This Row],[d_cm]]^2))/40000</f>
        <v>5.0153398285538241E-2</v>
      </c>
      <c r="F927" s="56">
        <f>Pinus[[#This Row],[gi_m²]]*Pinus[[#This Row],[h_m]]*0.45</f>
        <v>0.46808166619892838</v>
      </c>
    </row>
    <row r="928" spans="1:6" x14ac:dyDescent="0.3">
      <c r="A928" s="37">
        <v>10</v>
      </c>
      <c r="B928" s="37">
        <v>27</v>
      </c>
      <c r="C928" s="55">
        <v>19.62</v>
      </c>
      <c r="D928" s="55">
        <v>19.309999999999999</v>
      </c>
      <c r="E928" s="56">
        <f>(PI()*(Pinus[[#This Row],[d_cm]]^2))/40000</f>
        <v>3.0233462477013272E-2</v>
      </c>
      <c r="F928" s="56">
        <f>Pinus[[#This Row],[gi_m²]]*Pinus[[#This Row],[h_m]]*0.45</f>
        <v>0.26271367219400682</v>
      </c>
    </row>
    <row r="929" spans="1:6" x14ac:dyDescent="0.3">
      <c r="A929" s="37">
        <v>10</v>
      </c>
      <c r="B929" s="37">
        <v>28</v>
      </c>
      <c r="C929" s="55">
        <v>20.79</v>
      </c>
      <c r="D929" s="55">
        <v>19.64</v>
      </c>
      <c r="E929" s="56">
        <f>(PI()*(Pinus[[#This Row],[d_cm]]^2))/40000</f>
        <v>3.3946801431611502E-2</v>
      </c>
      <c r="F929" s="56">
        <f>Pinus[[#This Row],[gi_m²]]*Pinus[[#This Row],[h_m]]*0.45</f>
        <v>0.30002183105258245</v>
      </c>
    </row>
    <row r="930" spans="1:6" x14ac:dyDescent="0.3">
      <c r="A930" s="37">
        <v>10</v>
      </c>
      <c r="B930" s="37">
        <v>29</v>
      </c>
      <c r="C930" s="55">
        <v>29.95</v>
      </c>
      <c r="D930" s="55">
        <v>21.7</v>
      </c>
      <c r="E930" s="56">
        <f>(PI()*(Pinus[[#This Row],[d_cm]]^2))/40000</f>
        <v>7.0450411606291966E-2</v>
      </c>
      <c r="F930" s="56">
        <f>Pinus[[#This Row],[gi_m²]]*Pinus[[#This Row],[h_m]]*0.45</f>
        <v>0.68794826933544106</v>
      </c>
    </row>
    <row r="931" spans="1:6" x14ac:dyDescent="0.3">
      <c r="A931" s="37">
        <v>10</v>
      </c>
      <c r="B931" s="37">
        <v>30</v>
      </c>
      <c r="C931" s="55">
        <v>21.72</v>
      </c>
      <c r="D931" s="55">
        <v>19.89</v>
      </c>
      <c r="E931" s="56">
        <f>(PI()*(Pinus[[#This Row],[d_cm]]^2))/40000</f>
        <v>3.7051818092731871E-2</v>
      </c>
      <c r="F931" s="56">
        <f>Pinus[[#This Row],[gi_m²]]*Pinus[[#This Row],[h_m]]*0.45</f>
        <v>0.33163229783899667</v>
      </c>
    </row>
    <row r="932" spans="1:6" x14ac:dyDescent="0.3">
      <c r="A932" s="37">
        <v>10</v>
      </c>
      <c r="B932" s="37">
        <v>31</v>
      </c>
      <c r="C932" s="55">
        <v>20.76</v>
      </c>
      <c r="D932" s="55">
        <v>19.63</v>
      </c>
      <c r="E932" s="56">
        <f>(PI()*(Pinus[[#This Row],[d_cm]]^2))/40000</f>
        <v>3.3848901550544014E-2</v>
      </c>
      <c r="F932" s="56">
        <f>Pinus[[#This Row],[gi_m²]]*Pinus[[#This Row],[h_m]]*0.45</f>
        <v>0.29900427184673056</v>
      </c>
    </row>
    <row r="933" spans="1:6" x14ac:dyDescent="0.3">
      <c r="A933" s="37">
        <v>10</v>
      </c>
      <c r="B933" s="37">
        <v>32</v>
      </c>
      <c r="C933" s="55">
        <v>14.63</v>
      </c>
      <c r="D933" s="55">
        <v>17.649999999999999</v>
      </c>
      <c r="E933" s="56">
        <f>(PI()*(Pinus[[#This Row],[d_cm]]^2))/40000</f>
        <v>1.6810418815928332E-2</v>
      </c>
      <c r="F933" s="56">
        <f>Pinus[[#This Row],[gi_m²]]*Pinus[[#This Row],[h_m]]*0.45</f>
        <v>0.13351675144551078</v>
      </c>
    </row>
    <row r="934" spans="1:6" x14ac:dyDescent="0.3">
      <c r="A934" s="37">
        <v>10</v>
      </c>
      <c r="B934" s="37">
        <v>33</v>
      </c>
      <c r="C934" s="55">
        <v>20.010000000000002</v>
      </c>
      <c r="D934" s="55">
        <v>19.420000000000002</v>
      </c>
      <c r="E934" s="56">
        <f>(PI()*(Pinus[[#This Row],[d_cm]]^2))/40000</f>
        <v>3.1447350316415469E-2</v>
      </c>
      <c r="F934" s="56">
        <f>Pinus[[#This Row],[gi_m²]]*Pinus[[#This Row],[h_m]]*0.45</f>
        <v>0.27481839441515482</v>
      </c>
    </row>
    <row r="935" spans="1:6" x14ac:dyDescent="0.3">
      <c r="A935" s="37">
        <v>10</v>
      </c>
      <c r="B935" s="37">
        <v>34</v>
      </c>
      <c r="C935" s="55">
        <v>19.11</v>
      </c>
      <c r="D935" s="55">
        <v>19.16</v>
      </c>
      <c r="E935" s="56">
        <f>(PI()*(Pinus[[#This Row],[d_cm]]^2))/40000</f>
        <v>2.8682120462725724E-2</v>
      </c>
      <c r="F935" s="56">
        <f>Pinus[[#This Row],[gi_m²]]*Pinus[[#This Row],[h_m]]*0.45</f>
        <v>0.24729724262962119</v>
      </c>
    </row>
    <row r="936" spans="1:6" x14ac:dyDescent="0.3">
      <c r="A936" s="37">
        <v>10</v>
      </c>
      <c r="B936" s="37">
        <v>35</v>
      </c>
      <c r="C936" s="55">
        <v>19.96</v>
      </c>
      <c r="D936" s="55">
        <v>19.41</v>
      </c>
      <c r="E936" s="56">
        <f>(PI()*(Pinus[[#This Row],[d_cm]]^2))/40000</f>
        <v>3.1290388493460483E-2</v>
      </c>
      <c r="F936" s="56">
        <f>Pinus[[#This Row],[gi_m²]]*Pinus[[#This Row],[h_m]]*0.45</f>
        <v>0.27330589829613061</v>
      </c>
    </row>
    <row r="937" spans="1:6" x14ac:dyDescent="0.3">
      <c r="A937" s="37">
        <v>10</v>
      </c>
      <c r="B937" s="37">
        <v>36</v>
      </c>
      <c r="C937" s="55">
        <v>17.7</v>
      </c>
      <c r="D937" s="55">
        <v>18.73</v>
      </c>
      <c r="E937" s="56">
        <f>(PI()*(Pinus[[#This Row],[d_cm]]^2))/40000</f>
        <v>2.4605739061078654E-2</v>
      </c>
      <c r="F937" s="56">
        <f>Pinus[[#This Row],[gi_m²]]*Pinus[[#This Row],[h_m]]*0.45</f>
        <v>0.20738947167630145</v>
      </c>
    </row>
    <row r="938" spans="1:6" x14ac:dyDescent="0.3">
      <c r="A938" s="37">
        <v>10</v>
      </c>
      <c r="B938" s="37">
        <v>37</v>
      </c>
      <c r="C938" s="55">
        <v>17.25</v>
      </c>
      <c r="D938" s="55">
        <v>18.579999999999998</v>
      </c>
      <c r="E938" s="56">
        <f>(PI()*(Pinus[[#This Row],[d_cm]]^2))/40000</f>
        <v>2.3370504099595318E-2</v>
      </c>
      <c r="F938" s="56">
        <f>Pinus[[#This Row],[gi_m²]]*Pinus[[#This Row],[h_m]]*0.45</f>
        <v>0.19540078477671644</v>
      </c>
    </row>
    <row r="939" spans="1:6" x14ac:dyDescent="0.3">
      <c r="A939" s="37">
        <v>10</v>
      </c>
      <c r="B939" s="37">
        <v>38</v>
      </c>
      <c r="C939" s="55">
        <v>17.12</v>
      </c>
      <c r="D939" s="55">
        <v>18.54</v>
      </c>
      <c r="E939" s="56">
        <f>(PI()*(Pinus[[#This Row],[d_cm]]^2))/40000</f>
        <v>2.3019580346207706E-2</v>
      </c>
      <c r="F939" s="56">
        <f>Pinus[[#This Row],[gi_m²]]*Pinus[[#This Row],[h_m]]*0.45</f>
        <v>0.1920523588284109</v>
      </c>
    </row>
    <row r="940" spans="1:6" x14ac:dyDescent="0.3">
      <c r="A940" s="37">
        <v>10</v>
      </c>
      <c r="B940" s="37">
        <v>39</v>
      </c>
      <c r="C940" s="55">
        <v>19.14</v>
      </c>
      <c r="D940" s="55">
        <v>19.170000000000002</v>
      </c>
      <c r="E940" s="56">
        <f>(PI()*(Pinus[[#This Row],[d_cm]]^2))/40000</f>
        <v>2.8772244901975587E-2</v>
      </c>
      <c r="F940" s="56">
        <f>Pinus[[#This Row],[gi_m²]]*Pinus[[#This Row],[h_m]]*0.45</f>
        <v>0.24820377064689245</v>
      </c>
    </row>
    <row r="941" spans="1:6" x14ac:dyDescent="0.3">
      <c r="A941" s="37">
        <v>10</v>
      </c>
      <c r="B941" s="37">
        <v>40</v>
      </c>
      <c r="C941" s="55">
        <v>25.47</v>
      </c>
      <c r="D941" s="55">
        <v>20.79</v>
      </c>
      <c r="E941" s="56">
        <f>(PI()*(Pinus[[#This Row],[d_cm]]^2))/40000</f>
        <v>5.0950420341753969E-2</v>
      </c>
      <c r="F941" s="56">
        <f>Pinus[[#This Row],[gi_m²]]*Pinus[[#This Row],[h_m]]*0.45</f>
        <v>0.47666665750727927</v>
      </c>
    </row>
    <row r="942" spans="1:6" x14ac:dyDescent="0.3">
      <c r="A942" s="37">
        <v>10</v>
      </c>
      <c r="B942" s="37">
        <v>41</v>
      </c>
      <c r="C942" s="55">
        <v>24.2</v>
      </c>
      <c r="D942" s="55">
        <v>20.5</v>
      </c>
      <c r="E942" s="56">
        <f>(PI()*(Pinus[[#This Row],[d_cm]]^2))/40000</f>
        <v>4.5996058041208161E-2</v>
      </c>
      <c r="F942" s="56">
        <f>Pinus[[#This Row],[gi_m²]]*Pinus[[#This Row],[h_m]]*0.45</f>
        <v>0.42431363543014528</v>
      </c>
    </row>
    <row r="943" spans="1:6" x14ac:dyDescent="0.3">
      <c r="A943" s="37">
        <v>10</v>
      </c>
      <c r="B943" s="37">
        <v>42</v>
      </c>
      <c r="C943" s="55">
        <v>18.559999999999999</v>
      </c>
      <c r="D943" s="55">
        <v>18.989999999999998</v>
      </c>
      <c r="E943" s="56">
        <f>(PI()*(Pinus[[#This Row],[d_cm]]^2))/40000</f>
        <v>2.7054893277890721E-2</v>
      </c>
      <c r="F943" s="56">
        <f>Pinus[[#This Row],[gi_m²]]*Pinus[[#This Row],[h_m]]*0.45</f>
        <v>0.23119759050621516</v>
      </c>
    </row>
    <row r="944" spans="1:6" x14ac:dyDescent="0.3">
      <c r="A944" s="37">
        <v>10</v>
      </c>
      <c r="B944" s="37">
        <v>43</v>
      </c>
      <c r="C944" s="55">
        <v>13.26</v>
      </c>
      <c r="D944" s="55">
        <v>17.09</v>
      </c>
      <c r="E944" s="56">
        <f>(PI()*(Pinus[[#This Row],[d_cm]]^2))/40000</f>
        <v>1.3809467411458118E-2</v>
      </c>
      <c r="F944" s="56">
        <f>Pinus[[#This Row],[gi_m²]]*Pinus[[#This Row],[h_m]]*0.45</f>
        <v>0.10620170912781865</v>
      </c>
    </row>
    <row r="945" spans="1:6" x14ac:dyDescent="0.3">
      <c r="A945" s="37">
        <v>10</v>
      </c>
      <c r="B945" s="37">
        <v>44</v>
      </c>
      <c r="C945" s="55">
        <v>16.62</v>
      </c>
      <c r="D945" s="55">
        <v>18.37</v>
      </c>
      <c r="E945" s="56">
        <f>(PI()*(Pinus[[#This Row],[d_cm]]^2))/40000</f>
        <v>2.1694613644556215E-2</v>
      </c>
      <c r="F945" s="56">
        <f>Pinus[[#This Row],[gi_m²]]*Pinus[[#This Row],[h_m]]*0.45</f>
        <v>0.17933852369272396</v>
      </c>
    </row>
    <row r="946" spans="1:6" x14ac:dyDescent="0.3">
      <c r="A946" s="37">
        <v>10</v>
      </c>
      <c r="B946" s="37">
        <v>45</v>
      </c>
      <c r="C946" s="55">
        <v>18.170000000000002</v>
      </c>
      <c r="D946" s="55">
        <v>18.87</v>
      </c>
      <c r="E946" s="56">
        <f>(PI()*(Pinus[[#This Row],[d_cm]]^2))/40000</f>
        <v>2.5929833970768788E-2</v>
      </c>
      <c r="F946" s="56">
        <f>Pinus[[#This Row],[gi_m²]]*Pinus[[#This Row],[h_m]]*0.45</f>
        <v>0.22018318516278318</v>
      </c>
    </row>
    <row r="947" spans="1:6" x14ac:dyDescent="0.3">
      <c r="A947" s="37">
        <v>10</v>
      </c>
      <c r="B947" s="37">
        <v>46</v>
      </c>
      <c r="C947" s="55">
        <v>20.41</v>
      </c>
      <c r="D947" s="55">
        <v>19.53</v>
      </c>
      <c r="E947" s="56">
        <f>(PI()*(Pinus[[#This Row],[d_cm]]^2))/40000</f>
        <v>3.2717182066996454E-2</v>
      </c>
      <c r="F947" s="56">
        <f>Pinus[[#This Row],[gi_m²]]*Pinus[[#This Row],[h_m]]*0.45</f>
        <v>0.28753495459579836</v>
      </c>
    </row>
    <row r="948" spans="1:6" x14ac:dyDescent="0.3">
      <c r="A948" s="37">
        <v>10</v>
      </c>
      <c r="B948" s="37">
        <v>47</v>
      </c>
      <c r="C948" s="55">
        <v>17.350000000000001</v>
      </c>
      <c r="D948" s="55">
        <v>18.61</v>
      </c>
      <c r="E948" s="56">
        <f>(PI()*(Pinus[[#This Row],[d_cm]]^2))/40000</f>
        <v>2.3642251864130843E-2</v>
      </c>
      <c r="F948" s="56">
        <f>Pinus[[#This Row],[gi_m²]]*Pinus[[#This Row],[h_m]]*0.45</f>
        <v>0.19799203823616374</v>
      </c>
    </row>
    <row r="949" spans="1:6" x14ac:dyDescent="0.3">
      <c r="A949" s="37">
        <v>10</v>
      </c>
      <c r="B949" s="37">
        <v>48</v>
      </c>
      <c r="C949" s="55">
        <v>28.03</v>
      </c>
      <c r="D949" s="55">
        <v>21.33</v>
      </c>
      <c r="E949" s="56">
        <f>(PI()*(Pinus[[#This Row],[d_cm]]^2))/40000</f>
        <v>6.1707233587645433E-2</v>
      </c>
      <c r="F949" s="56">
        <f>Pinus[[#This Row],[gi_m²]]*Pinus[[#This Row],[h_m]]*0.45</f>
        <v>0.59229688159101468</v>
      </c>
    </row>
    <row r="950" spans="1:6" x14ac:dyDescent="0.3">
      <c r="A950" s="37">
        <v>10</v>
      </c>
      <c r="B950" s="37">
        <v>49</v>
      </c>
      <c r="C950" s="55">
        <v>18.91</v>
      </c>
      <c r="D950" s="55">
        <v>19.100000000000001</v>
      </c>
      <c r="E950" s="56">
        <f>(PI()*(Pinus[[#This Row],[d_cm]]^2))/40000</f>
        <v>2.8084903699278307E-2</v>
      </c>
      <c r="F950" s="56">
        <f>Pinus[[#This Row],[gi_m²]]*Pinus[[#This Row],[h_m]]*0.45</f>
        <v>0.24138974729529705</v>
      </c>
    </row>
    <row r="951" spans="1:6" x14ac:dyDescent="0.3">
      <c r="A951" s="37">
        <v>10</v>
      </c>
      <c r="B951" s="37">
        <v>50</v>
      </c>
      <c r="C951" s="55">
        <v>15.14</v>
      </c>
      <c r="D951" s="55">
        <v>17.84</v>
      </c>
      <c r="E951" s="56">
        <f>(PI()*(Pinus[[#This Row],[d_cm]]^2))/40000</f>
        <v>1.8002865285469776E-2</v>
      </c>
      <c r="F951" s="56">
        <f>Pinus[[#This Row],[gi_m²]]*Pinus[[#This Row],[h_m]]*0.45</f>
        <v>0.14452700251175138</v>
      </c>
    </row>
    <row r="952" spans="1:6" x14ac:dyDescent="0.3">
      <c r="A952" s="37">
        <v>10</v>
      </c>
      <c r="B952" s="37">
        <v>51</v>
      </c>
      <c r="C952" s="55">
        <v>19.43</v>
      </c>
      <c r="D952" s="55">
        <v>19.260000000000002</v>
      </c>
      <c r="E952" s="56">
        <f>(PI()*(Pinus[[#This Row],[d_cm]]^2))/40000</f>
        <v>2.9650736309680532E-2</v>
      </c>
      <c r="F952" s="56">
        <f>Pinus[[#This Row],[gi_m²]]*Pinus[[#This Row],[h_m]]*0.45</f>
        <v>0.25698293159600116</v>
      </c>
    </row>
    <row r="953" spans="1:6" x14ac:dyDescent="0.3">
      <c r="A953" s="37">
        <v>10</v>
      </c>
      <c r="B953" s="37">
        <v>52</v>
      </c>
      <c r="C953" s="55">
        <v>15.98</v>
      </c>
      <c r="D953" s="55">
        <v>18.149999999999999</v>
      </c>
      <c r="E953" s="56">
        <f>(PI()*(Pinus[[#This Row],[d_cm]]^2))/40000</f>
        <v>2.0055958916443777E-2</v>
      </c>
      <c r="F953" s="56">
        <f>Pinus[[#This Row],[gi_m²]]*Pinus[[#This Row],[h_m]]*0.45</f>
        <v>0.16380704445005453</v>
      </c>
    </row>
    <row r="954" spans="1:6" x14ac:dyDescent="0.3">
      <c r="A954" s="37">
        <v>10</v>
      </c>
      <c r="B954" s="37">
        <v>53</v>
      </c>
      <c r="C954" s="55">
        <v>20.62</v>
      </c>
      <c r="D954" s="55">
        <v>19.59</v>
      </c>
      <c r="E954" s="56">
        <f>(PI()*(Pinus[[#This Row],[d_cm]]^2))/40000</f>
        <v>3.3393904686524603E-2</v>
      </c>
      <c r="F954" s="56">
        <f>Pinus[[#This Row],[gi_m²]]*Pinus[[#This Row],[h_m]]*0.45</f>
        <v>0.29438396676405765</v>
      </c>
    </row>
    <row r="955" spans="1:6" x14ac:dyDescent="0.3">
      <c r="A955" s="37">
        <v>10</v>
      </c>
      <c r="B955" s="37">
        <v>54</v>
      </c>
      <c r="C955" s="55">
        <v>20.93</v>
      </c>
      <c r="D955" s="55">
        <v>19.68</v>
      </c>
      <c r="E955" s="56">
        <f>(PI()*(Pinus[[#This Row],[d_cm]]^2))/40000</f>
        <v>3.4405536790888681E-2</v>
      </c>
      <c r="F955" s="56">
        <f>Pinus[[#This Row],[gi_m²]]*Pinus[[#This Row],[h_m]]*0.45</f>
        <v>0.30469543382011016</v>
      </c>
    </row>
    <row r="956" spans="1:6" x14ac:dyDescent="0.3">
      <c r="A956" s="37">
        <v>10</v>
      </c>
      <c r="B956" s="37">
        <v>55</v>
      </c>
      <c r="C956" s="55">
        <v>21.42</v>
      </c>
      <c r="D956" s="55">
        <v>19.809999999999999</v>
      </c>
      <c r="E956" s="56">
        <f>(PI()*(Pinus[[#This Row],[d_cm]]^2))/40000</f>
        <v>3.603535578966291E-2</v>
      </c>
      <c r="F956" s="56">
        <f>Pinus[[#This Row],[gi_m²]]*Pinus[[#This Row],[h_m]]*0.45</f>
        <v>0.32123717918694999</v>
      </c>
    </row>
    <row r="957" spans="1:6" x14ac:dyDescent="0.3">
      <c r="A957" s="37">
        <v>10</v>
      </c>
      <c r="B957" s="37">
        <v>56</v>
      </c>
      <c r="C957" s="55">
        <v>13.51</v>
      </c>
      <c r="D957" s="55">
        <v>17.2</v>
      </c>
      <c r="E957" s="56">
        <f>(PI()*(Pinus[[#This Row],[d_cm]]^2))/40000</f>
        <v>1.4335095132311858E-2</v>
      </c>
      <c r="F957" s="56">
        <f>Pinus[[#This Row],[gi_m²]]*Pinus[[#This Row],[h_m]]*0.45</f>
        <v>0.11095363632409377</v>
      </c>
    </row>
    <row r="958" spans="1:6" x14ac:dyDescent="0.3">
      <c r="A958" s="37">
        <v>10</v>
      </c>
      <c r="B958" s="37">
        <v>57</v>
      </c>
      <c r="C958" s="55">
        <v>20.88</v>
      </c>
      <c r="D958" s="55">
        <v>19.66</v>
      </c>
      <c r="E958" s="56">
        <f>(PI()*(Pinus[[#This Row],[d_cm]]^2))/40000</f>
        <v>3.4241349304830443E-2</v>
      </c>
      <c r="F958" s="56">
        <f>Pinus[[#This Row],[gi_m²]]*Pinus[[#This Row],[h_m]]*0.45</f>
        <v>0.30293321729983497</v>
      </c>
    </row>
    <row r="959" spans="1:6" x14ac:dyDescent="0.3">
      <c r="A959" s="37">
        <v>10</v>
      </c>
      <c r="B959" s="37">
        <v>58</v>
      </c>
      <c r="C959" s="55">
        <v>21.24</v>
      </c>
      <c r="D959" s="55">
        <v>19.760000000000002</v>
      </c>
      <c r="E959" s="56">
        <f>(PI()*(Pinus[[#This Row],[d_cm]]^2))/40000</f>
        <v>3.543226424795326E-2</v>
      </c>
      <c r="F959" s="56">
        <f>Pinus[[#This Row],[gi_m²]]*Pinus[[#This Row],[h_m]]*0.45</f>
        <v>0.31506369369280041</v>
      </c>
    </row>
    <row r="960" spans="1:6" x14ac:dyDescent="0.3">
      <c r="A960" s="37">
        <v>10</v>
      </c>
      <c r="B960" s="37">
        <v>59</v>
      </c>
      <c r="C960" s="55">
        <v>14.32</v>
      </c>
      <c r="D960" s="55">
        <v>17.52</v>
      </c>
      <c r="E960" s="56">
        <f>(PI()*(Pinus[[#This Row],[d_cm]]^2))/40000</f>
        <v>1.6105563234187291E-2</v>
      </c>
      <c r="F960" s="56">
        <f>Pinus[[#This Row],[gi_m²]]*Pinus[[#This Row],[h_m]]*0.45</f>
        <v>0.12697626053833261</v>
      </c>
    </row>
    <row r="961" spans="1:6" x14ac:dyDescent="0.3">
      <c r="A961" s="37">
        <v>10</v>
      </c>
      <c r="B961" s="37">
        <v>60</v>
      </c>
      <c r="C961" s="55">
        <v>23.82</v>
      </c>
      <c r="D961" s="55">
        <v>20.41</v>
      </c>
      <c r="E961" s="56">
        <f>(PI()*(Pinus[[#This Row],[d_cm]]^2))/40000</f>
        <v>4.4562894888567038E-2</v>
      </c>
      <c r="F961" s="56">
        <f>Pinus[[#This Row],[gi_m²]]*Pinus[[#This Row],[h_m]]*0.45</f>
        <v>0.40928790810404397</v>
      </c>
    </row>
    <row r="962" spans="1:6" x14ac:dyDescent="0.3">
      <c r="A962" s="37">
        <v>10</v>
      </c>
      <c r="B962" s="37">
        <v>61</v>
      </c>
      <c r="C962" s="55">
        <v>23.14</v>
      </c>
      <c r="D962" s="55">
        <v>20.239999999999998</v>
      </c>
      <c r="E962" s="56">
        <f>(PI()*(Pinus[[#This Row],[d_cm]]^2))/40000</f>
        <v>4.2054898641353228E-2</v>
      </c>
      <c r="F962" s="56">
        <f>Pinus[[#This Row],[gi_m²]]*Pinus[[#This Row],[h_m]]*0.45</f>
        <v>0.38303601682544519</v>
      </c>
    </row>
    <row r="963" spans="1:6" x14ac:dyDescent="0.3">
      <c r="A963" s="37">
        <v>10</v>
      </c>
      <c r="B963" s="37">
        <v>62</v>
      </c>
      <c r="C963" s="55">
        <v>29.2</v>
      </c>
      <c r="D963" s="55">
        <v>21.56</v>
      </c>
      <c r="E963" s="56">
        <f>(PI()*(Pinus[[#This Row],[d_cm]]^2))/40000</f>
        <v>6.6966189003920026E-2</v>
      </c>
      <c r="F963" s="56">
        <f>Pinus[[#This Row],[gi_m²]]*Pinus[[#This Row],[h_m]]*0.45</f>
        <v>0.64970596571603212</v>
      </c>
    </row>
    <row r="964" spans="1:6" x14ac:dyDescent="0.3">
      <c r="A964" s="37">
        <v>10</v>
      </c>
      <c r="B964" s="37">
        <v>63</v>
      </c>
      <c r="C964" s="55">
        <v>20.63</v>
      </c>
      <c r="D964" s="55">
        <v>19.59</v>
      </c>
      <c r="E964" s="56">
        <f>(PI()*(Pinus[[#This Row],[d_cm]]^2))/40000</f>
        <v>3.3426302360764742E-2</v>
      </c>
      <c r="F964" s="56">
        <f>Pinus[[#This Row],[gi_m²]]*Pinus[[#This Row],[h_m]]*0.45</f>
        <v>0.29466956846132158</v>
      </c>
    </row>
    <row r="965" spans="1:6" x14ac:dyDescent="0.3">
      <c r="A965" s="37">
        <v>10</v>
      </c>
      <c r="B965" s="37">
        <v>64</v>
      </c>
      <c r="C965" s="55">
        <v>20.190000000000001</v>
      </c>
      <c r="D965" s="55">
        <v>19.47</v>
      </c>
      <c r="E965" s="56">
        <f>(PI()*(Pinus[[#This Row],[d_cm]]^2))/40000</f>
        <v>3.2015664427449859E-2</v>
      </c>
      <c r="F965" s="56">
        <f>Pinus[[#This Row],[gi_m²]]*Pinus[[#This Row],[h_m]]*0.45</f>
        <v>0.28050524388110193</v>
      </c>
    </row>
    <row r="966" spans="1:6" x14ac:dyDescent="0.3">
      <c r="A966" s="37">
        <v>10</v>
      </c>
      <c r="B966" s="37">
        <v>65</v>
      </c>
      <c r="C966" s="55">
        <v>20.39</v>
      </c>
      <c r="D966" s="55">
        <v>19.53</v>
      </c>
      <c r="E966" s="56">
        <f>(PI()*(Pinus[[#This Row],[d_cm]]^2))/40000</f>
        <v>3.2653093576863225E-2</v>
      </c>
      <c r="F966" s="56">
        <f>Pinus[[#This Row],[gi_m²]]*Pinus[[#This Row],[h_m]]*0.45</f>
        <v>0.28697171290026247</v>
      </c>
    </row>
    <row r="967" spans="1:6" x14ac:dyDescent="0.3">
      <c r="A967" s="37">
        <v>10</v>
      </c>
      <c r="B967" s="37">
        <v>66</v>
      </c>
      <c r="C967" s="55">
        <v>20.28</v>
      </c>
      <c r="D967" s="55">
        <v>19.5</v>
      </c>
      <c r="E967" s="56">
        <f>(PI()*(Pinus[[#This Row],[d_cm]]^2))/40000</f>
        <v>3.2301730000504111E-2</v>
      </c>
      <c r="F967" s="56">
        <f>Pinus[[#This Row],[gi_m²]]*Pinus[[#This Row],[h_m]]*0.45</f>
        <v>0.28344768075442361</v>
      </c>
    </row>
    <row r="968" spans="1:6" x14ac:dyDescent="0.3">
      <c r="A968" s="37">
        <v>10</v>
      </c>
      <c r="B968" s="37">
        <v>67</v>
      </c>
      <c r="C968" s="55">
        <v>12.61</v>
      </c>
      <c r="D968" s="55">
        <v>16.8</v>
      </c>
      <c r="E968" s="56">
        <f>(PI()*(Pinus[[#This Row],[d_cm]]^2))/40000</f>
        <v>1.2488781129797137E-2</v>
      </c>
      <c r="F968" s="56">
        <f>Pinus[[#This Row],[gi_m²]]*Pinus[[#This Row],[h_m]]*0.45</f>
        <v>9.4415185341266361E-2</v>
      </c>
    </row>
    <row r="969" spans="1:6" x14ac:dyDescent="0.3">
      <c r="A969" s="37">
        <v>10</v>
      </c>
      <c r="B969" s="37">
        <v>68</v>
      </c>
      <c r="C969" s="55">
        <v>13.32</v>
      </c>
      <c r="D969" s="55">
        <v>17.11</v>
      </c>
      <c r="E969" s="56">
        <f>(PI()*(Pinus[[#This Row],[d_cm]]^2))/40000</f>
        <v>1.3934722710556744E-2</v>
      </c>
      <c r="F969" s="56">
        <f>Pinus[[#This Row],[gi_m²]]*Pinus[[#This Row],[h_m]]*0.45</f>
        <v>0.10729039750993165</v>
      </c>
    </row>
    <row r="970" spans="1:6" x14ac:dyDescent="0.3">
      <c r="A970" s="37">
        <v>10</v>
      </c>
      <c r="B970" s="37">
        <v>69</v>
      </c>
      <c r="C970" s="55">
        <v>19.690000000000001</v>
      </c>
      <c r="D970" s="55">
        <v>19.329999999999998</v>
      </c>
      <c r="E970" s="56">
        <f>(PI()*(Pinus[[#This Row],[d_cm]]^2))/40000</f>
        <v>3.044958048963535E-2</v>
      </c>
      <c r="F970" s="56">
        <f>Pinus[[#This Row],[gi_m²]]*Pinus[[#This Row],[h_m]]*0.45</f>
        <v>0.2648656758890931</v>
      </c>
    </row>
    <row r="971" spans="1:6" x14ac:dyDescent="0.3">
      <c r="A971" s="37">
        <v>10</v>
      </c>
      <c r="B971" s="37">
        <v>70</v>
      </c>
      <c r="C971" s="55">
        <v>17.68</v>
      </c>
      <c r="D971" s="55">
        <v>18.72</v>
      </c>
      <c r="E971" s="56">
        <f>(PI()*(Pinus[[#This Row],[d_cm]]^2))/40000</f>
        <v>2.4550164287036654E-2</v>
      </c>
      <c r="F971" s="56">
        <f>Pinus[[#This Row],[gi_m²]]*Pinus[[#This Row],[h_m]]*0.45</f>
        <v>0.20681058395399676</v>
      </c>
    </row>
    <row r="972" spans="1:6" x14ac:dyDescent="0.3">
      <c r="A972" s="37">
        <v>10</v>
      </c>
      <c r="B972" s="37">
        <v>71</v>
      </c>
      <c r="C972" s="55">
        <v>20.22</v>
      </c>
      <c r="D972" s="55">
        <v>19.48</v>
      </c>
      <c r="E972" s="56">
        <f>(PI()*(Pinus[[#This Row],[d_cm]]^2))/40000</f>
        <v>3.2110878246798528E-2</v>
      </c>
      <c r="F972" s="56">
        <f>Pinus[[#This Row],[gi_m²]]*Pinus[[#This Row],[h_m]]*0.45</f>
        <v>0.28148395871143594</v>
      </c>
    </row>
    <row r="973" spans="1:6" x14ac:dyDescent="0.3">
      <c r="A973" s="37">
        <v>10</v>
      </c>
      <c r="B973" s="37">
        <v>72</v>
      </c>
      <c r="C973" s="55">
        <v>11.56</v>
      </c>
      <c r="D973" s="55">
        <v>16.309999999999999</v>
      </c>
      <c r="E973" s="56">
        <f>(PI()*(Pinus[[#This Row],[d_cm]]^2))/40000</f>
        <v>1.0495558400818925E-2</v>
      </c>
      <c r="F973" s="56">
        <f>Pinus[[#This Row],[gi_m²]]*Pinus[[#This Row],[h_m]]*0.45</f>
        <v>7.7032150882810499E-2</v>
      </c>
    </row>
    <row r="974" spans="1:6" x14ac:dyDescent="0.3">
      <c r="A974" s="37">
        <v>10</v>
      </c>
      <c r="B974" s="37">
        <v>73</v>
      </c>
      <c r="C974" s="55">
        <v>14.01</v>
      </c>
      <c r="D974" s="55">
        <v>17.399999999999999</v>
      </c>
      <c r="E974" s="56">
        <f>(PI()*(Pinus[[#This Row],[d_cm]]^2))/40000</f>
        <v>1.5415803005146748E-2</v>
      </c>
      <c r="F974" s="56">
        <f>Pinus[[#This Row],[gi_m²]]*Pinus[[#This Row],[h_m]]*0.45</f>
        <v>0.12070573753029903</v>
      </c>
    </row>
    <row r="975" spans="1:6" x14ac:dyDescent="0.3">
      <c r="A975" s="37">
        <v>10</v>
      </c>
      <c r="B975" s="37">
        <v>74</v>
      </c>
      <c r="C975" s="55">
        <v>15.59</v>
      </c>
      <c r="D975" s="55">
        <v>18.010000000000002</v>
      </c>
      <c r="E975" s="56">
        <f>(PI()*(Pinus[[#This Row],[d_cm]]^2))/40000</f>
        <v>1.9088953135723934E-2</v>
      </c>
      <c r="F975" s="56">
        <f>Pinus[[#This Row],[gi_m²]]*Pinus[[#This Row],[h_m]]*0.45</f>
        <v>0.15470642068847462</v>
      </c>
    </row>
    <row r="976" spans="1:6" x14ac:dyDescent="0.3">
      <c r="A976" s="37">
        <v>10</v>
      </c>
      <c r="B976" s="37">
        <v>75</v>
      </c>
      <c r="C976" s="55">
        <v>23.94</v>
      </c>
      <c r="D976" s="55">
        <v>20.440000000000001</v>
      </c>
      <c r="E976" s="56">
        <f>(PI()*(Pinus[[#This Row],[d_cm]]^2))/40000</f>
        <v>4.5013022283973379E-2</v>
      </c>
      <c r="F976" s="56">
        <f>Pinus[[#This Row],[gi_m²]]*Pinus[[#This Row],[h_m]]*0.45</f>
        <v>0.41402977896798721</v>
      </c>
    </row>
    <row r="977" spans="1:6" x14ac:dyDescent="0.3">
      <c r="A977" s="37">
        <v>10</v>
      </c>
      <c r="B977" s="37">
        <v>76</v>
      </c>
      <c r="C977" s="55">
        <v>15.61</v>
      </c>
      <c r="D977" s="55">
        <v>18.010000000000002</v>
      </c>
      <c r="E977" s="56">
        <f>(PI()*(Pinus[[#This Row],[d_cm]]^2))/40000</f>
        <v>1.9137961981119934E-2</v>
      </c>
      <c r="F977" s="56">
        <f>Pinus[[#This Row],[gi_m²]]*Pinus[[#This Row],[h_m]]*0.45</f>
        <v>0.15510361287598651</v>
      </c>
    </row>
    <row r="978" spans="1:6" x14ac:dyDescent="0.3">
      <c r="A978" s="37">
        <v>10</v>
      </c>
      <c r="B978" s="37">
        <v>77</v>
      </c>
      <c r="C978" s="55">
        <v>16.8</v>
      </c>
      <c r="D978" s="55">
        <v>18.43</v>
      </c>
      <c r="E978" s="56">
        <f>(PI()*(Pinus[[#This Row],[d_cm]]^2))/40000</f>
        <v>2.216707776372958E-2</v>
      </c>
      <c r="F978" s="56">
        <f>Pinus[[#This Row],[gi_m²]]*Pinus[[#This Row],[h_m]]*0.45</f>
        <v>0.18384265943349126</v>
      </c>
    </row>
    <row r="979" spans="1:6" x14ac:dyDescent="0.3">
      <c r="A979" s="37">
        <v>10</v>
      </c>
      <c r="B979" s="37">
        <v>78</v>
      </c>
      <c r="C979" s="55">
        <v>20.32</v>
      </c>
      <c r="D979" s="55">
        <v>19.510000000000002</v>
      </c>
      <c r="E979" s="56">
        <f>(PI()*(Pinus[[#This Row],[d_cm]]^2))/40000</f>
        <v>3.2429278662239852E-2</v>
      </c>
      <c r="F979" s="56">
        <f>Pinus[[#This Row],[gi_m²]]*Pinus[[#This Row],[h_m]]*0.45</f>
        <v>0.2847128520151348</v>
      </c>
    </row>
    <row r="980" spans="1:6" x14ac:dyDescent="0.3">
      <c r="A980" s="37">
        <v>10</v>
      </c>
      <c r="B980" s="37">
        <v>79</v>
      </c>
      <c r="C980" s="55">
        <v>18.71</v>
      </c>
      <c r="D980" s="55">
        <v>19.04</v>
      </c>
      <c r="E980" s="56">
        <f>(PI()*(Pinus[[#This Row],[d_cm]]^2))/40000</f>
        <v>2.7493970121138075E-2</v>
      </c>
      <c r="F980" s="56">
        <f>Pinus[[#This Row],[gi_m²]]*Pinus[[#This Row],[h_m]]*0.45</f>
        <v>0.23556833599791105</v>
      </c>
    </row>
    <row r="981" spans="1:6" x14ac:dyDescent="0.3">
      <c r="A981" s="37">
        <v>10</v>
      </c>
      <c r="B981" s="37">
        <v>80</v>
      </c>
      <c r="C981" s="55">
        <v>20.59</v>
      </c>
      <c r="D981" s="55">
        <v>19.579999999999998</v>
      </c>
      <c r="E981" s="56">
        <f>(PI()*(Pinus[[#This Row],[d_cm]]^2))/40000</f>
        <v>3.3296805911583779E-2</v>
      </c>
      <c r="F981" s="56">
        <f>Pinus[[#This Row],[gi_m²]]*Pinus[[#This Row],[h_m]]*0.45</f>
        <v>0.29337815688696467</v>
      </c>
    </row>
    <row r="982" spans="1:6" x14ac:dyDescent="0.3">
      <c r="A982" s="37">
        <v>10</v>
      </c>
      <c r="B982" s="37">
        <v>81</v>
      </c>
      <c r="C982" s="55">
        <v>29.22</v>
      </c>
      <c r="D982" s="55">
        <v>21.56</v>
      </c>
      <c r="E982" s="56">
        <f>(PI()*(Pinus[[#This Row],[d_cm]]^2))/40000</f>
        <v>6.705795492533137E-2</v>
      </c>
      <c r="F982" s="56">
        <f>Pinus[[#This Row],[gi_m²]]*Pinus[[#This Row],[h_m]]*0.45</f>
        <v>0.65059627868556491</v>
      </c>
    </row>
    <row r="983" spans="1:6" x14ac:dyDescent="0.3">
      <c r="A983" s="37">
        <v>10</v>
      </c>
      <c r="B983" s="37">
        <v>82</v>
      </c>
      <c r="C983" s="55">
        <v>15.5</v>
      </c>
      <c r="D983" s="55">
        <v>17.97</v>
      </c>
      <c r="E983" s="56">
        <f>(PI()*(Pinus[[#This Row],[d_cm]]^2))/40000</f>
        <v>1.8869190875623696E-2</v>
      </c>
      <c r="F983" s="56">
        <f>Pinus[[#This Row],[gi_m²]]*Pinus[[#This Row],[h_m]]*0.45</f>
        <v>0.15258571201573101</v>
      </c>
    </row>
    <row r="984" spans="1:6" x14ac:dyDescent="0.3">
      <c r="A984" s="37">
        <v>10</v>
      </c>
      <c r="B984" s="37">
        <v>83</v>
      </c>
      <c r="C984" s="55">
        <v>18.78</v>
      </c>
      <c r="D984" s="55">
        <v>19.059999999999999</v>
      </c>
      <c r="E984" s="56">
        <f>(PI()*(Pinus[[#This Row],[d_cm]]^2))/40000</f>
        <v>2.7700082161158462E-2</v>
      </c>
      <c r="F984" s="56">
        <f>Pinus[[#This Row],[gi_m²]]*Pinus[[#This Row],[h_m]]*0.45</f>
        <v>0.23758360469625611</v>
      </c>
    </row>
    <row r="985" spans="1:6" x14ac:dyDescent="0.3">
      <c r="A985" s="37">
        <v>10</v>
      </c>
      <c r="B985" s="37">
        <v>84</v>
      </c>
      <c r="C985" s="55">
        <v>17.93</v>
      </c>
      <c r="D985" s="55">
        <v>18.8</v>
      </c>
      <c r="E985" s="56">
        <f>(PI()*(Pinus[[#This Row],[d_cm]]^2))/40000</f>
        <v>2.5249365002001228E-2</v>
      </c>
      <c r="F985" s="56">
        <f>Pinus[[#This Row],[gi_m²]]*Pinus[[#This Row],[h_m]]*0.45</f>
        <v>0.21360962791693039</v>
      </c>
    </row>
    <row r="986" spans="1:6" x14ac:dyDescent="0.3">
      <c r="A986" s="37">
        <v>10</v>
      </c>
      <c r="B986" s="37">
        <v>85</v>
      </c>
      <c r="C986" s="55">
        <v>26.05</v>
      </c>
      <c r="D986" s="55">
        <v>20.91</v>
      </c>
      <c r="E986" s="56">
        <f>(PI()*(Pinus[[#This Row],[d_cm]]^2))/40000</f>
        <v>5.3297315717691696E-2</v>
      </c>
      <c r="F986" s="56">
        <f>Pinus[[#This Row],[gi_m²]]*Pinus[[#This Row],[h_m]]*0.45</f>
        <v>0.50150109224562001</v>
      </c>
    </row>
    <row r="987" spans="1:6" x14ac:dyDescent="0.3">
      <c r="A987" s="37">
        <v>10</v>
      </c>
      <c r="B987" s="37">
        <v>86</v>
      </c>
      <c r="C987" s="55">
        <v>16.920000000000002</v>
      </c>
      <c r="D987" s="55">
        <v>18.47</v>
      </c>
      <c r="E987" s="56">
        <f>(PI()*(Pinus[[#This Row],[d_cm]]^2))/40000</f>
        <v>2.248488127656673E-2</v>
      </c>
      <c r="F987" s="56">
        <f>Pinus[[#This Row],[gi_m²]]*Pinus[[#This Row],[h_m]]*0.45</f>
        <v>0.18688309073018436</v>
      </c>
    </row>
    <row r="988" spans="1:6" x14ac:dyDescent="0.3">
      <c r="A988" s="37">
        <v>10</v>
      </c>
      <c r="B988" s="37">
        <v>87</v>
      </c>
      <c r="C988" s="55">
        <v>19.670000000000002</v>
      </c>
      <c r="D988" s="55">
        <v>19.32</v>
      </c>
      <c r="E988" s="56">
        <f>(PI()*(Pinus[[#This Row],[d_cm]]^2))/40000</f>
        <v>3.0387753946212705E-2</v>
      </c>
      <c r="F988" s="56">
        <f>Pinus[[#This Row],[gi_m²]]*Pinus[[#This Row],[h_m]]*0.45</f>
        <v>0.26419113280837325</v>
      </c>
    </row>
    <row r="989" spans="1:6" x14ac:dyDescent="0.3">
      <c r="A989" s="37">
        <v>10</v>
      </c>
      <c r="B989" s="37">
        <v>88</v>
      </c>
      <c r="C989" s="55">
        <v>23.15</v>
      </c>
      <c r="D989" s="55">
        <v>20.25</v>
      </c>
      <c r="E989" s="56">
        <f>(PI()*(Pinus[[#This Row],[d_cm]]^2))/40000</f>
        <v>4.2091254722336893E-2</v>
      </c>
      <c r="F989" s="56">
        <f>Pinus[[#This Row],[gi_m²]]*Pinus[[#This Row],[h_m]]*0.45</f>
        <v>0.38355655865729493</v>
      </c>
    </row>
    <row r="990" spans="1:6" x14ac:dyDescent="0.3">
      <c r="A990" s="37">
        <v>10</v>
      </c>
      <c r="B990" s="37">
        <v>89</v>
      </c>
      <c r="C990" s="55">
        <v>15.77</v>
      </c>
      <c r="D990" s="55">
        <v>18.07</v>
      </c>
      <c r="E990" s="56">
        <f>(PI()*(Pinus[[#This Row],[d_cm]]^2))/40000</f>
        <v>1.9532294690998528E-2</v>
      </c>
      <c r="F990" s="56">
        <f>Pinus[[#This Row],[gi_m²]]*Pinus[[#This Row],[h_m]]*0.45</f>
        <v>0.15882685427985455</v>
      </c>
    </row>
    <row r="991" spans="1:6" x14ac:dyDescent="0.3">
      <c r="A991" s="37">
        <v>10</v>
      </c>
      <c r="B991" s="37">
        <v>90</v>
      </c>
      <c r="C991" s="55">
        <v>26.62</v>
      </c>
      <c r="D991" s="55">
        <v>21.04</v>
      </c>
      <c r="E991" s="56">
        <f>(PI()*(Pinus[[#This Row],[d_cm]]^2))/40000</f>
        <v>5.565523022986188E-2</v>
      </c>
      <c r="F991" s="56">
        <f>Pinus[[#This Row],[gi_m²]]*Pinus[[#This Row],[h_m]]*0.45</f>
        <v>0.52694371981633226</v>
      </c>
    </row>
    <row r="992" spans="1:6" x14ac:dyDescent="0.3">
      <c r="A992" s="37">
        <v>10</v>
      </c>
      <c r="B992" s="37">
        <v>91</v>
      </c>
      <c r="C992" s="55">
        <v>22.7</v>
      </c>
      <c r="D992" s="55">
        <v>20.14</v>
      </c>
      <c r="E992" s="56">
        <f>(PI()*(Pinus[[#This Row],[d_cm]]^2))/40000</f>
        <v>4.0470781961707107E-2</v>
      </c>
      <c r="F992" s="56">
        <f>Pinus[[#This Row],[gi_m²]]*Pinus[[#This Row],[h_m]]*0.45</f>
        <v>0.36678669691895149</v>
      </c>
    </row>
    <row r="993" spans="1:6" x14ac:dyDescent="0.3">
      <c r="A993" s="37">
        <v>10</v>
      </c>
      <c r="B993" s="37">
        <v>92</v>
      </c>
      <c r="C993" s="55">
        <v>15.7</v>
      </c>
      <c r="D993" s="55">
        <v>18.05</v>
      </c>
      <c r="E993" s="56">
        <f>(PI()*(Pinus[[#This Row],[d_cm]]^2))/40000</f>
        <v>1.9359279329583701E-2</v>
      </c>
      <c r="F993" s="56">
        <f>Pinus[[#This Row],[gi_m²]]*Pinus[[#This Row],[h_m]]*0.45</f>
        <v>0.15724574635454361</v>
      </c>
    </row>
    <row r="994" spans="1:6" x14ac:dyDescent="0.3">
      <c r="A994" s="37">
        <v>10</v>
      </c>
      <c r="B994" s="37">
        <v>93</v>
      </c>
      <c r="C994" s="55">
        <v>21.82</v>
      </c>
      <c r="D994" s="55">
        <v>19.91</v>
      </c>
      <c r="E994" s="56">
        <f>(PI()*(Pinus[[#This Row],[d_cm]]^2))/40000</f>
        <v>3.7393780453075127E-2</v>
      </c>
      <c r="F994" s="56">
        <f>Pinus[[#This Row],[gi_m²]]*Pinus[[#This Row],[h_m]]*0.45</f>
        <v>0.33502957596932664</v>
      </c>
    </row>
    <row r="995" spans="1:6" x14ac:dyDescent="0.3">
      <c r="A995" s="37">
        <v>10</v>
      </c>
      <c r="B995" s="37">
        <v>94</v>
      </c>
      <c r="C995" s="55">
        <v>19.149999999999999</v>
      </c>
      <c r="D995" s="55">
        <v>19.170000000000002</v>
      </c>
      <c r="E995" s="56">
        <f>(PI()*(Pinus[[#This Row],[d_cm]]^2))/40000</f>
        <v>2.8802317797652067E-2</v>
      </c>
      <c r="F995" s="56">
        <f>Pinus[[#This Row],[gi_m²]]*Pinus[[#This Row],[h_m]]*0.45</f>
        <v>0.24846319448144558</v>
      </c>
    </row>
    <row r="996" spans="1:6" x14ac:dyDescent="0.3">
      <c r="A996" s="37">
        <v>10</v>
      </c>
      <c r="B996" s="37">
        <v>95</v>
      </c>
      <c r="C996" s="55">
        <v>21.25</v>
      </c>
      <c r="D996" s="55">
        <v>19.760000000000002</v>
      </c>
      <c r="E996" s="56">
        <f>(PI()*(Pinus[[#This Row],[d_cm]]^2))/40000</f>
        <v>3.5465635815916025E-2</v>
      </c>
      <c r="F996" s="56">
        <f>Pinus[[#This Row],[gi_m²]]*Pinus[[#This Row],[h_m]]*0.45</f>
        <v>0.31536043367512528</v>
      </c>
    </row>
    <row r="997" spans="1:6" x14ac:dyDescent="0.3">
      <c r="A997" s="37">
        <v>10</v>
      </c>
      <c r="B997" s="37">
        <v>96</v>
      </c>
      <c r="C997" s="55">
        <v>19.64</v>
      </c>
      <c r="D997" s="55">
        <v>19.309999999999999</v>
      </c>
      <c r="E997" s="56">
        <f>(PI()*(Pinus[[#This Row],[d_cm]]^2))/40000</f>
        <v>3.0295131940803237E-2</v>
      </c>
      <c r="F997" s="56">
        <f>Pinus[[#This Row],[gi_m²]]*Pinus[[#This Row],[h_m]]*0.45</f>
        <v>0.26324954899960973</v>
      </c>
    </row>
    <row r="998" spans="1:6" x14ac:dyDescent="0.3">
      <c r="A998" s="37">
        <v>10</v>
      </c>
      <c r="B998" s="37">
        <v>97</v>
      </c>
      <c r="C998" s="55">
        <v>24.28</v>
      </c>
      <c r="D998" s="55">
        <v>20.52</v>
      </c>
      <c r="E998" s="56">
        <f>(PI()*(Pinus[[#This Row],[d_cm]]^2))/40000</f>
        <v>4.6300666864900225E-2</v>
      </c>
      <c r="F998" s="56">
        <f>Pinus[[#This Row],[gi_m²]]*Pinus[[#This Row],[h_m]]*0.45</f>
        <v>0.42754035783048872</v>
      </c>
    </row>
    <row r="999" spans="1:6" x14ac:dyDescent="0.3">
      <c r="A999" s="37">
        <v>10</v>
      </c>
      <c r="B999" s="37">
        <v>98</v>
      </c>
      <c r="C999" s="55">
        <v>14.6</v>
      </c>
      <c r="D999" s="55">
        <v>17.63</v>
      </c>
      <c r="E999" s="56">
        <f>(PI()*(Pinus[[#This Row],[d_cm]]^2))/40000</f>
        <v>1.6741547250980007E-2</v>
      </c>
      <c r="F999" s="56">
        <f>Pinus[[#This Row],[gi_m²]]*Pinus[[#This Row],[h_m]]*0.45</f>
        <v>0.13281906511564986</v>
      </c>
    </row>
    <row r="1000" spans="1:6" x14ac:dyDescent="0.3">
      <c r="A1000" s="37">
        <v>10</v>
      </c>
      <c r="B1000" s="37">
        <v>99</v>
      </c>
      <c r="C1000" s="55">
        <v>17.91</v>
      </c>
      <c r="D1000" s="55">
        <v>18.79</v>
      </c>
      <c r="E1000" s="56">
        <f>(PI()*(Pinus[[#This Row],[d_cm]]^2))/40000</f>
        <v>2.5193067661648902E-2</v>
      </c>
      <c r="F1000" s="56">
        <f>Pinus[[#This Row],[gi_m²]]*Pinus[[#This Row],[h_m]]*0.45</f>
        <v>0.21301998361307228</v>
      </c>
    </row>
    <row r="1001" spans="1:6" x14ac:dyDescent="0.3">
      <c r="A1001" s="37">
        <v>10</v>
      </c>
      <c r="B1001" s="37">
        <v>100</v>
      </c>
      <c r="C1001" s="55">
        <v>19</v>
      </c>
      <c r="D1001" s="55">
        <v>19.13</v>
      </c>
      <c r="E1001" s="56">
        <f>(PI()*(Pinus[[#This Row],[d_cm]]^2))/40000</f>
        <v>2.835287369864788E-2</v>
      </c>
      <c r="F1001" s="56">
        <f>Pinus[[#This Row],[gi_m²]]*Pinus[[#This Row],[h_m]]*0.45</f>
        <v>0.24407571323481028</v>
      </c>
    </row>
    <row r="1002" spans="1:6" x14ac:dyDescent="0.3">
      <c r="A1002" s="37">
        <v>11</v>
      </c>
      <c r="B1002" s="37">
        <v>1</v>
      </c>
      <c r="C1002" s="55">
        <v>16.02</v>
      </c>
      <c r="D1002" s="55">
        <v>14.02</v>
      </c>
      <c r="E1002" s="56">
        <f>(PI()*(Pinus[[#This Row],[d_cm]]^2))/40000</f>
        <v>2.0156489881358649E-2</v>
      </c>
      <c r="F1002" s="56">
        <f>Pinus[[#This Row],[gi_m²]]*Pinus[[#This Row],[h_m]]*0.45</f>
        <v>0.12716729466149174</v>
      </c>
    </row>
    <row r="1003" spans="1:6" x14ac:dyDescent="0.3">
      <c r="A1003" s="37">
        <v>11</v>
      </c>
      <c r="B1003" s="37">
        <v>2</v>
      </c>
      <c r="C1003" s="55">
        <v>15.84</v>
      </c>
      <c r="D1003" s="55">
        <v>13.98</v>
      </c>
      <c r="E1003" s="56">
        <f>(PI()*(Pinus[[#This Row],[d_cm]]^2))/40000</f>
        <v>1.9706079742613479E-2</v>
      </c>
      <c r="F1003" s="56">
        <f>Pinus[[#This Row],[gi_m²]]*Pinus[[#This Row],[h_m]]*0.45</f>
        <v>0.1239709476607814</v>
      </c>
    </row>
    <row r="1004" spans="1:6" x14ac:dyDescent="0.3">
      <c r="A1004" s="37">
        <v>11</v>
      </c>
      <c r="B1004" s="37">
        <v>3</v>
      </c>
      <c r="C1004" s="55">
        <v>19.93</v>
      </c>
      <c r="D1004" s="55">
        <v>14.98</v>
      </c>
      <c r="E1004" s="56">
        <f>(PI()*(Pinus[[#This Row],[d_cm]]^2))/40000</f>
        <v>3.1196399895246713E-2</v>
      </c>
      <c r="F1004" s="56">
        <f>Pinus[[#This Row],[gi_m²]]*Pinus[[#This Row],[h_m]]*0.45</f>
        <v>0.2102949316938581</v>
      </c>
    </row>
    <row r="1005" spans="1:6" x14ac:dyDescent="0.3">
      <c r="A1005" s="37">
        <v>11</v>
      </c>
      <c r="B1005" s="37">
        <v>4</v>
      </c>
      <c r="C1005" s="55">
        <v>19.47</v>
      </c>
      <c r="D1005" s="55">
        <v>14.88</v>
      </c>
      <c r="E1005" s="56">
        <f>(PI()*(Pinus[[#This Row],[d_cm]]^2))/40000</f>
        <v>2.9772944263905168E-2</v>
      </c>
      <c r="F1005" s="56">
        <f>Pinus[[#This Row],[gi_m²]]*Pinus[[#This Row],[h_m]]*0.45</f>
        <v>0.19935963479110902</v>
      </c>
    </row>
    <row r="1006" spans="1:6" x14ac:dyDescent="0.3">
      <c r="A1006" s="37">
        <v>11</v>
      </c>
      <c r="B1006" s="37">
        <v>5</v>
      </c>
      <c r="C1006" s="55">
        <v>9.8000000000000007</v>
      </c>
      <c r="D1006" s="55">
        <v>11.88</v>
      </c>
      <c r="E1006" s="56">
        <f>(PI()*(Pinus[[#This Row],[d_cm]]^2))/40000</f>
        <v>7.5429639612690945E-3</v>
      </c>
      <c r="F1006" s="56">
        <f>Pinus[[#This Row],[gi_m²]]*Pinus[[#This Row],[h_m]]*0.45</f>
        <v>4.0324685336944582E-2</v>
      </c>
    </row>
    <row r="1007" spans="1:6" x14ac:dyDescent="0.3">
      <c r="A1007" s="37">
        <v>11</v>
      </c>
      <c r="B1007" s="37">
        <v>6</v>
      </c>
      <c r="C1007" s="55">
        <v>24.16</v>
      </c>
      <c r="D1007" s="55">
        <v>15.82</v>
      </c>
      <c r="E1007" s="56">
        <f>(PI()*(Pinus[[#This Row],[d_cm]]^2))/40000</f>
        <v>4.584413062048056E-2</v>
      </c>
      <c r="F1007" s="56">
        <f>Pinus[[#This Row],[gi_m²]]*Pinus[[#This Row],[h_m]]*0.45</f>
        <v>0.32636436588720114</v>
      </c>
    </row>
    <row r="1008" spans="1:6" x14ac:dyDescent="0.3">
      <c r="A1008" s="37">
        <v>11</v>
      </c>
      <c r="B1008" s="37">
        <v>7</v>
      </c>
      <c r="C1008" s="55">
        <v>21</v>
      </c>
      <c r="D1008" s="55">
        <v>15.21</v>
      </c>
      <c r="E1008" s="56">
        <f>(PI()*(Pinus[[#This Row],[d_cm]]^2))/40000</f>
        <v>3.4636059005827467E-2</v>
      </c>
      <c r="F1008" s="56">
        <f>Pinus[[#This Row],[gi_m²]]*Pinus[[#This Row],[h_m]]*0.45</f>
        <v>0.23706650586538611</v>
      </c>
    </row>
    <row r="1009" spans="1:6" x14ac:dyDescent="0.3">
      <c r="A1009" s="37">
        <v>11</v>
      </c>
      <c r="B1009" s="37">
        <v>8</v>
      </c>
      <c r="C1009" s="55">
        <v>29.66</v>
      </c>
      <c r="D1009" s="55">
        <v>16.72</v>
      </c>
      <c r="E1009" s="56">
        <f>(PI()*(Pinus[[#This Row],[d_cm]]^2))/40000</f>
        <v>6.9092701655208436E-2</v>
      </c>
      <c r="F1009" s="56">
        <f>Pinus[[#This Row],[gi_m²]]*Pinus[[#This Row],[h_m]]*0.45</f>
        <v>0.51985348725378822</v>
      </c>
    </row>
    <row r="1010" spans="1:6" x14ac:dyDescent="0.3">
      <c r="A1010" s="37">
        <v>11</v>
      </c>
      <c r="B1010" s="37">
        <v>9</v>
      </c>
      <c r="C1010" s="55">
        <v>22.74</v>
      </c>
      <c r="D1010" s="55">
        <v>15.56</v>
      </c>
      <c r="E1010" s="56">
        <f>(PI()*(Pinus[[#This Row],[d_cm]]^2))/40000</f>
        <v>4.0613535931886227E-2</v>
      </c>
      <c r="F1010" s="56">
        <f>Pinus[[#This Row],[gi_m²]]*Pinus[[#This Row],[h_m]]*0.45</f>
        <v>0.28437597859506736</v>
      </c>
    </row>
    <row r="1011" spans="1:6" x14ac:dyDescent="0.3">
      <c r="A1011" s="37">
        <v>11</v>
      </c>
      <c r="B1011" s="37">
        <v>10</v>
      </c>
      <c r="C1011" s="55">
        <v>18.21</v>
      </c>
      <c r="D1011" s="55">
        <v>14.59</v>
      </c>
      <c r="E1011" s="56">
        <f>(PI()*(Pinus[[#This Row],[d_cm]]^2))/40000</f>
        <v>2.6044125111506378E-2</v>
      </c>
      <c r="F1011" s="56">
        <f>Pinus[[#This Row],[gi_m²]]*Pinus[[#This Row],[h_m]]*0.45</f>
        <v>0.17099270341959513</v>
      </c>
    </row>
    <row r="1012" spans="1:6" x14ac:dyDescent="0.3">
      <c r="A1012" s="37">
        <v>11</v>
      </c>
      <c r="B1012" s="37">
        <v>11</v>
      </c>
      <c r="C1012" s="55">
        <v>31.19</v>
      </c>
      <c r="D1012" s="55">
        <v>16.940000000000001</v>
      </c>
      <c r="E1012" s="56">
        <f>(PI()*(Pinus[[#This Row],[d_cm]]^2))/40000</f>
        <v>7.6404797826346849E-2</v>
      </c>
      <c r="F1012" s="56">
        <f>Pinus[[#This Row],[gi_m²]]*Pinus[[#This Row],[h_m]]*0.45</f>
        <v>0.58243377383024209</v>
      </c>
    </row>
    <row r="1013" spans="1:6" x14ac:dyDescent="0.3">
      <c r="A1013" s="37">
        <v>11</v>
      </c>
      <c r="B1013" s="37">
        <v>12</v>
      </c>
      <c r="C1013" s="55">
        <v>31.33</v>
      </c>
      <c r="D1013" s="55">
        <v>16.96</v>
      </c>
      <c r="E1013" s="56">
        <f>(PI()*(Pinus[[#This Row],[d_cm]]^2))/40000</f>
        <v>7.7092241130805345E-2</v>
      </c>
      <c r="F1013" s="56">
        <f>Pinus[[#This Row],[gi_m²]]*Pinus[[#This Row],[h_m]]*0.45</f>
        <v>0.58836798431030646</v>
      </c>
    </row>
    <row r="1014" spans="1:6" x14ac:dyDescent="0.3">
      <c r="A1014" s="37">
        <v>11</v>
      </c>
      <c r="B1014" s="37">
        <v>13</v>
      </c>
      <c r="C1014" s="55">
        <v>15.13</v>
      </c>
      <c r="D1014" s="55">
        <v>13.77</v>
      </c>
      <c r="E1014" s="56">
        <f>(PI()*(Pinus[[#This Row],[d_cm]]^2))/40000</f>
        <v>1.7979091283063735E-2</v>
      </c>
      <c r="F1014" s="56">
        <f>Pinus[[#This Row],[gi_m²]]*Pinus[[#This Row],[h_m]]*0.45</f>
        <v>0.11140743913550444</v>
      </c>
    </row>
    <row r="1015" spans="1:6" x14ac:dyDescent="0.3">
      <c r="A1015" s="37">
        <v>11</v>
      </c>
      <c r="B1015" s="37">
        <v>14</v>
      </c>
      <c r="C1015" s="55">
        <v>21.88</v>
      </c>
      <c r="D1015" s="55">
        <v>15.39</v>
      </c>
      <c r="E1015" s="56">
        <f>(PI()*(Pinus[[#This Row],[d_cm]]^2))/40000</f>
        <v>3.7599711851517927E-2</v>
      </c>
      <c r="F1015" s="56">
        <f>Pinus[[#This Row],[gi_m²]]*Pinus[[#This Row],[h_m]]*0.45</f>
        <v>0.26039680442768742</v>
      </c>
    </row>
    <row r="1016" spans="1:6" x14ac:dyDescent="0.3">
      <c r="A1016" s="37">
        <v>11</v>
      </c>
      <c r="B1016" s="37">
        <v>15</v>
      </c>
      <c r="C1016" s="55">
        <v>19.16</v>
      </c>
      <c r="D1016" s="55">
        <v>14.81</v>
      </c>
      <c r="E1016" s="56">
        <f>(PI()*(Pinus[[#This Row],[d_cm]]^2))/40000</f>
        <v>2.8832406401291824E-2</v>
      </c>
      <c r="F1016" s="56">
        <f>Pinus[[#This Row],[gi_m²]]*Pinus[[#This Row],[h_m]]*0.45</f>
        <v>0.19215357246140938</v>
      </c>
    </row>
    <row r="1017" spans="1:6" x14ac:dyDescent="0.3">
      <c r="A1017" s="37">
        <v>11</v>
      </c>
      <c r="B1017" s="37">
        <v>16</v>
      </c>
      <c r="C1017" s="55">
        <v>20.75</v>
      </c>
      <c r="D1017" s="55">
        <v>15.16</v>
      </c>
      <c r="E1017" s="56">
        <f>(PI()*(Pinus[[#This Row],[d_cm]]^2))/40000</f>
        <v>3.381629967278138E-2</v>
      </c>
      <c r="F1017" s="56">
        <f>Pinus[[#This Row],[gi_m²]]*Pinus[[#This Row],[h_m]]*0.45</f>
        <v>0.23069479636771456</v>
      </c>
    </row>
    <row r="1018" spans="1:6" x14ac:dyDescent="0.3">
      <c r="A1018" s="37">
        <v>11</v>
      </c>
      <c r="B1018" s="37">
        <v>17</v>
      </c>
      <c r="C1018" s="55">
        <v>20.91</v>
      </c>
      <c r="D1018" s="55">
        <v>15.19</v>
      </c>
      <c r="E1018" s="56">
        <f>(PI()*(Pinus[[#This Row],[d_cm]]^2))/40000</f>
        <v>3.4339814672575582E-2</v>
      </c>
      <c r="F1018" s="56">
        <f>Pinus[[#This Row],[gi_m²]]*Pinus[[#This Row],[h_m]]*0.45</f>
        <v>0.23472980319439038</v>
      </c>
    </row>
    <row r="1019" spans="1:6" x14ac:dyDescent="0.3">
      <c r="A1019" s="37">
        <v>11</v>
      </c>
      <c r="B1019" s="37">
        <v>18</v>
      </c>
      <c r="C1019" s="55">
        <v>14.95</v>
      </c>
      <c r="D1019" s="55">
        <v>13.72</v>
      </c>
      <c r="E1019" s="56">
        <f>(PI()*(Pinus[[#This Row],[d_cm]]^2))/40000</f>
        <v>1.7553845301473817E-2</v>
      </c>
      <c r="F1019" s="56">
        <f>Pinus[[#This Row],[gi_m²]]*Pinus[[#This Row],[h_m]]*0.45</f>
        <v>0.10837744089129935</v>
      </c>
    </row>
    <row r="1020" spans="1:6" x14ac:dyDescent="0.3">
      <c r="A1020" s="37">
        <v>11</v>
      </c>
      <c r="B1020" s="37">
        <v>19</v>
      </c>
      <c r="C1020" s="55">
        <v>21.14</v>
      </c>
      <c r="D1020" s="55">
        <v>15.24</v>
      </c>
      <c r="E1020" s="56">
        <f>(PI()*(Pinus[[#This Row],[d_cm]]^2))/40000</f>
        <v>3.5099412506305432E-2</v>
      </c>
      <c r="F1020" s="56">
        <f>Pinus[[#This Row],[gi_m²]]*Pinus[[#This Row],[h_m]]*0.45</f>
        <v>0.24071177096824267</v>
      </c>
    </row>
    <row r="1021" spans="1:6" x14ac:dyDescent="0.3">
      <c r="A1021" s="37">
        <v>11</v>
      </c>
      <c r="B1021" s="37">
        <v>20</v>
      </c>
      <c r="C1021" s="55">
        <v>27</v>
      </c>
      <c r="D1021" s="55">
        <v>16.309999999999999</v>
      </c>
      <c r="E1021" s="56">
        <f>(PI()*(Pinus[[#This Row],[d_cm]]^2))/40000</f>
        <v>5.7255526111673977E-2</v>
      </c>
      <c r="F1021" s="56">
        <f>Pinus[[#This Row],[gi_m²]]*Pinus[[#This Row],[h_m]]*0.45</f>
        <v>0.42022693389663113</v>
      </c>
    </row>
    <row r="1022" spans="1:6" x14ac:dyDescent="0.3">
      <c r="A1022" s="37">
        <v>11</v>
      </c>
      <c r="B1022" s="37">
        <v>21</v>
      </c>
      <c r="C1022" s="55">
        <v>19.34</v>
      </c>
      <c r="D1022" s="55">
        <v>14.85</v>
      </c>
      <c r="E1022" s="56">
        <f>(PI()*(Pinus[[#This Row],[d_cm]]^2))/40000</f>
        <v>2.937668732852626E-2</v>
      </c>
      <c r="F1022" s="56">
        <f>Pinus[[#This Row],[gi_m²]]*Pinus[[#This Row],[h_m]]*0.45</f>
        <v>0.19630971307287673</v>
      </c>
    </row>
    <row r="1023" spans="1:6" x14ac:dyDescent="0.3">
      <c r="A1023" s="37">
        <v>11</v>
      </c>
      <c r="B1023" s="37">
        <v>22</v>
      </c>
      <c r="C1023" s="55">
        <v>19.350000000000001</v>
      </c>
      <c r="D1023" s="55">
        <v>14.85</v>
      </c>
      <c r="E1023" s="56">
        <f>(PI()*(Pinus[[#This Row],[d_cm]]^2))/40000</f>
        <v>2.9407074383468113E-2</v>
      </c>
      <c r="F1023" s="56">
        <f>Pinus[[#This Row],[gi_m²]]*Pinus[[#This Row],[h_m]]*0.45</f>
        <v>0.19651277456752567</v>
      </c>
    </row>
    <row r="1024" spans="1:6" x14ac:dyDescent="0.3">
      <c r="A1024" s="37">
        <v>11</v>
      </c>
      <c r="B1024" s="37">
        <v>23</v>
      </c>
      <c r="C1024" s="55">
        <v>25.59</v>
      </c>
      <c r="D1024" s="55">
        <v>16.07</v>
      </c>
      <c r="E1024" s="56">
        <f>(PI()*(Pinus[[#This Row],[d_cm]]^2))/40000</f>
        <v>5.1431649504430854E-2</v>
      </c>
      <c r="F1024" s="56">
        <f>Pinus[[#This Row],[gi_m²]]*Pinus[[#This Row],[h_m]]*0.45</f>
        <v>0.37192797339129174</v>
      </c>
    </row>
    <row r="1025" spans="1:6" x14ac:dyDescent="0.3">
      <c r="A1025" s="37">
        <v>11</v>
      </c>
      <c r="B1025" s="37">
        <v>24</v>
      </c>
      <c r="C1025" s="55">
        <v>23.59</v>
      </c>
      <c r="D1025" s="55">
        <v>15.72</v>
      </c>
      <c r="E1025" s="56">
        <f>(PI()*(Pinus[[#This Row],[d_cm]]^2))/40000</f>
        <v>4.3706473169253558E-2</v>
      </c>
      <c r="F1025" s="56">
        <f>Pinus[[#This Row],[gi_m²]]*Pinus[[#This Row],[h_m]]*0.45</f>
        <v>0.30917959119929966</v>
      </c>
    </row>
    <row r="1026" spans="1:6" x14ac:dyDescent="0.3">
      <c r="A1026" s="37">
        <v>11</v>
      </c>
      <c r="B1026" s="37">
        <v>25</v>
      </c>
      <c r="C1026" s="55">
        <v>13.41</v>
      </c>
      <c r="D1026" s="55">
        <v>13.25</v>
      </c>
      <c r="E1026" s="56">
        <f>(PI()*(Pinus[[#This Row],[d_cm]]^2))/40000</f>
        <v>1.4123665946725268E-2</v>
      </c>
      <c r="F1026" s="56">
        <f>Pinus[[#This Row],[gi_m²]]*Pinus[[#This Row],[h_m]]*0.45</f>
        <v>8.4212358207349416E-2</v>
      </c>
    </row>
    <row r="1027" spans="1:6" x14ac:dyDescent="0.3">
      <c r="A1027" s="37">
        <v>11</v>
      </c>
      <c r="B1027" s="37">
        <v>26</v>
      </c>
      <c r="C1027" s="55">
        <v>20.91</v>
      </c>
      <c r="D1027" s="55">
        <v>15.19</v>
      </c>
      <c r="E1027" s="56">
        <f>(PI()*(Pinus[[#This Row],[d_cm]]^2))/40000</f>
        <v>3.4339814672575582E-2</v>
      </c>
      <c r="F1027" s="56">
        <f>Pinus[[#This Row],[gi_m²]]*Pinus[[#This Row],[h_m]]*0.45</f>
        <v>0.23472980319439038</v>
      </c>
    </row>
    <row r="1028" spans="1:6" x14ac:dyDescent="0.3">
      <c r="A1028" s="37">
        <v>11</v>
      </c>
      <c r="B1028" s="37">
        <v>27</v>
      </c>
      <c r="C1028" s="55">
        <v>26.61</v>
      </c>
      <c r="D1028" s="55">
        <v>16.239999999999998</v>
      </c>
      <c r="E1028" s="56">
        <f>(PI()*(Pinus[[#This Row],[d_cm]]^2))/40000</f>
        <v>5.561342348562423E-2</v>
      </c>
      <c r="F1028" s="56">
        <f>Pinus[[#This Row],[gi_m²]]*Pinus[[#This Row],[h_m]]*0.45</f>
        <v>0.40642289883294186</v>
      </c>
    </row>
    <row r="1029" spans="1:6" x14ac:dyDescent="0.3">
      <c r="A1029" s="37">
        <v>11</v>
      </c>
      <c r="B1029" s="37">
        <v>28</v>
      </c>
      <c r="C1029" s="55">
        <v>25.66</v>
      </c>
      <c r="D1029" s="55">
        <v>16.079999999999998</v>
      </c>
      <c r="E1029" s="56">
        <f>(PI()*(Pinus[[#This Row],[d_cm]]^2))/40000</f>
        <v>5.1713411095549694E-2</v>
      </c>
      <c r="F1029" s="56">
        <f>Pinus[[#This Row],[gi_m²]]*Pinus[[#This Row],[h_m]]*0.45</f>
        <v>0.37419824268739754</v>
      </c>
    </row>
    <row r="1030" spans="1:6" x14ac:dyDescent="0.3">
      <c r="A1030" s="37">
        <v>11</v>
      </c>
      <c r="B1030" s="37">
        <v>29</v>
      </c>
      <c r="C1030" s="55">
        <v>21.68</v>
      </c>
      <c r="D1030" s="55">
        <v>15.35</v>
      </c>
      <c r="E1030" s="56">
        <f>(PI()*(Pinus[[#This Row],[d_cm]]^2))/40000</f>
        <v>3.6915472971566075E-2</v>
      </c>
      <c r="F1030" s="56">
        <f>Pinus[[#This Row],[gi_m²]]*Pinus[[#This Row],[h_m]]*0.45</f>
        <v>0.25499362955109267</v>
      </c>
    </row>
    <row r="1031" spans="1:6" x14ac:dyDescent="0.3">
      <c r="A1031" s="37">
        <v>11</v>
      </c>
      <c r="B1031" s="37">
        <v>30</v>
      </c>
      <c r="C1031" s="55">
        <v>22.88</v>
      </c>
      <c r="D1031" s="55">
        <v>15.58</v>
      </c>
      <c r="E1031" s="56">
        <f>(PI()*(Pinus[[#This Row],[d_cm]]^2))/40000</f>
        <v>4.1115154030884907E-2</v>
      </c>
      <c r="F1031" s="56">
        <f>Pinus[[#This Row],[gi_m²]]*Pinus[[#This Row],[h_m]]*0.45</f>
        <v>0.28825834491053409</v>
      </c>
    </row>
    <row r="1032" spans="1:6" x14ac:dyDescent="0.3">
      <c r="A1032" s="37">
        <v>11</v>
      </c>
      <c r="B1032" s="37">
        <v>31</v>
      </c>
      <c r="C1032" s="55">
        <v>15.21</v>
      </c>
      <c r="D1032" s="55">
        <v>13.8</v>
      </c>
      <c r="E1032" s="56">
        <f>(PI()*(Pinus[[#This Row],[d_cm]]^2))/40000</f>
        <v>1.8169723125283564E-2</v>
      </c>
      <c r="F1032" s="56">
        <f>Pinus[[#This Row],[gi_m²]]*Pinus[[#This Row],[h_m]]*0.45</f>
        <v>0.11283398060801093</v>
      </c>
    </row>
    <row r="1033" spans="1:6" x14ac:dyDescent="0.3">
      <c r="A1033" s="37">
        <v>11</v>
      </c>
      <c r="B1033" s="37">
        <v>32</v>
      </c>
      <c r="C1033" s="55">
        <v>21.2</v>
      </c>
      <c r="D1033" s="55">
        <v>15.25</v>
      </c>
      <c r="E1033" s="56">
        <f>(PI()*(Pinus[[#This Row],[d_cm]]^2))/40000</f>
        <v>3.5298935055734913E-2</v>
      </c>
      <c r="F1033" s="56">
        <f>Pinus[[#This Row],[gi_m²]]*Pinus[[#This Row],[h_m]]*0.45</f>
        <v>0.24223894181998082</v>
      </c>
    </row>
    <row r="1034" spans="1:6" x14ac:dyDescent="0.3">
      <c r="A1034" s="37">
        <v>11</v>
      </c>
      <c r="B1034" s="37">
        <v>33</v>
      </c>
      <c r="C1034" s="55">
        <v>16.18</v>
      </c>
      <c r="D1034" s="55">
        <v>14.07</v>
      </c>
      <c r="E1034" s="56">
        <f>(PI()*(Pinus[[#This Row],[d_cm]]^2))/40000</f>
        <v>2.0561127015141015E-2</v>
      </c>
      <c r="F1034" s="56">
        <f>Pinus[[#This Row],[gi_m²]]*Pinus[[#This Row],[h_m]]*0.45</f>
        <v>0.13018277569636535</v>
      </c>
    </row>
    <row r="1035" spans="1:6" x14ac:dyDescent="0.3">
      <c r="A1035" s="37">
        <v>11</v>
      </c>
      <c r="B1035" s="37">
        <v>34</v>
      </c>
      <c r="C1035" s="55">
        <v>18.170000000000002</v>
      </c>
      <c r="D1035" s="55">
        <v>14.57</v>
      </c>
      <c r="E1035" s="56">
        <f>(PI()*(Pinus[[#This Row],[d_cm]]^2))/40000</f>
        <v>2.5929833970768788E-2</v>
      </c>
      <c r="F1035" s="56">
        <f>Pinus[[#This Row],[gi_m²]]*Pinus[[#This Row],[h_m]]*0.45</f>
        <v>0.17000895642934558</v>
      </c>
    </row>
    <row r="1036" spans="1:6" x14ac:dyDescent="0.3">
      <c r="A1036" s="37">
        <v>11</v>
      </c>
      <c r="B1036" s="37">
        <v>35</v>
      </c>
      <c r="C1036" s="55">
        <v>23.74</v>
      </c>
      <c r="D1036" s="55">
        <v>15.75</v>
      </c>
      <c r="E1036" s="56">
        <f>(PI()*(Pinus[[#This Row],[d_cm]]^2))/40000</f>
        <v>4.4264066595357573E-2</v>
      </c>
      <c r="F1036" s="56">
        <f>Pinus[[#This Row],[gi_m²]]*Pinus[[#This Row],[h_m]]*0.45</f>
        <v>0.31372157199459677</v>
      </c>
    </row>
    <row r="1037" spans="1:6" x14ac:dyDescent="0.3">
      <c r="A1037" s="37">
        <v>11</v>
      </c>
      <c r="B1037" s="37">
        <v>36</v>
      </c>
      <c r="C1037" s="55">
        <v>15.45</v>
      </c>
      <c r="D1037" s="55">
        <v>13.87</v>
      </c>
      <c r="E1037" s="56">
        <f>(PI()*(Pinus[[#This Row],[d_cm]]^2))/40000</f>
        <v>1.874765050983794E-2</v>
      </c>
      <c r="F1037" s="56">
        <f>Pinus[[#This Row],[gi_m²]]*Pinus[[#This Row],[h_m]]*0.45</f>
        <v>0.11701346065715348</v>
      </c>
    </row>
    <row r="1038" spans="1:6" x14ac:dyDescent="0.3">
      <c r="A1038" s="37">
        <v>11</v>
      </c>
      <c r="B1038" s="37">
        <v>37</v>
      </c>
      <c r="C1038" s="55">
        <v>21.07</v>
      </c>
      <c r="D1038" s="55">
        <v>15.22</v>
      </c>
      <c r="E1038" s="56">
        <f>(PI()*(Pinus[[#This Row],[d_cm]]^2))/40000</f>
        <v>3.4867350910966384E-2</v>
      </c>
      <c r="F1038" s="56">
        <f>Pinus[[#This Row],[gi_m²]]*Pinus[[#This Row],[h_m]]*0.45</f>
        <v>0.23880648638920879</v>
      </c>
    </row>
    <row r="1039" spans="1:6" x14ac:dyDescent="0.3">
      <c r="A1039" s="37">
        <v>11</v>
      </c>
      <c r="B1039" s="37">
        <v>38</v>
      </c>
      <c r="C1039" s="55">
        <v>21.71</v>
      </c>
      <c r="D1039" s="55">
        <v>15.35</v>
      </c>
      <c r="E1039" s="56">
        <f>(PI()*(Pinus[[#This Row],[d_cm]]^2))/40000</f>
        <v>3.701770825049553E-2</v>
      </c>
      <c r="F1039" s="56">
        <f>Pinus[[#This Row],[gi_m²]]*Pinus[[#This Row],[h_m]]*0.45</f>
        <v>0.25569981974029787</v>
      </c>
    </row>
    <row r="1040" spans="1:6" x14ac:dyDescent="0.3">
      <c r="A1040" s="37">
        <v>11</v>
      </c>
      <c r="B1040" s="37">
        <v>39</v>
      </c>
      <c r="C1040" s="55">
        <v>20.22</v>
      </c>
      <c r="D1040" s="55">
        <v>15.04</v>
      </c>
      <c r="E1040" s="56">
        <f>(PI()*(Pinus[[#This Row],[d_cm]]^2))/40000</f>
        <v>3.2110878246798528E-2</v>
      </c>
      <c r="F1040" s="56">
        <f>Pinus[[#This Row],[gi_m²]]*Pinus[[#This Row],[h_m]]*0.45</f>
        <v>0.21732642397433244</v>
      </c>
    </row>
    <row r="1041" spans="1:6" x14ac:dyDescent="0.3">
      <c r="A1041" s="37">
        <v>11</v>
      </c>
      <c r="B1041" s="37">
        <v>40</v>
      </c>
      <c r="C1041" s="55">
        <v>27.29</v>
      </c>
      <c r="D1041" s="55">
        <v>16.350000000000001</v>
      </c>
      <c r="E1041" s="56">
        <f>(PI()*(Pinus[[#This Row],[d_cm]]^2))/40000</f>
        <v>5.8492064834108556E-2</v>
      </c>
      <c r="F1041" s="56">
        <f>Pinus[[#This Row],[gi_m²]]*Pinus[[#This Row],[h_m]]*0.45</f>
        <v>0.43035536701695376</v>
      </c>
    </row>
    <row r="1042" spans="1:6" x14ac:dyDescent="0.3">
      <c r="A1042" s="37">
        <v>11</v>
      </c>
      <c r="B1042" s="37">
        <v>41</v>
      </c>
      <c r="C1042" s="55">
        <v>15.91</v>
      </c>
      <c r="D1042" s="55">
        <v>13.99</v>
      </c>
      <c r="E1042" s="56">
        <f>(PI()*(Pinus[[#This Row],[d_cm]]^2))/40000</f>
        <v>1.9880634484428564E-2</v>
      </c>
      <c r="F1042" s="56">
        <f>Pinus[[#This Row],[gi_m²]]*Pinus[[#This Row],[h_m]]*0.45</f>
        <v>0.12515853439672003</v>
      </c>
    </row>
    <row r="1043" spans="1:6" x14ac:dyDescent="0.3">
      <c r="A1043" s="37">
        <v>11</v>
      </c>
      <c r="B1043" s="37">
        <v>42</v>
      </c>
      <c r="C1043" s="55">
        <v>22.42</v>
      </c>
      <c r="D1043" s="55">
        <v>15.5</v>
      </c>
      <c r="E1043" s="56">
        <f>(PI()*(Pinus[[#This Row],[d_cm]]^2))/40000</f>
        <v>3.9478541337997317E-2</v>
      </c>
      <c r="F1043" s="56">
        <f>Pinus[[#This Row],[gi_m²]]*Pinus[[#This Row],[h_m]]*0.45</f>
        <v>0.2753628258325313</v>
      </c>
    </row>
    <row r="1044" spans="1:6" x14ac:dyDescent="0.3">
      <c r="A1044" s="37">
        <v>11</v>
      </c>
      <c r="B1044" s="37">
        <v>43</v>
      </c>
      <c r="C1044" s="55">
        <v>19.64</v>
      </c>
      <c r="D1044" s="55">
        <v>14.92</v>
      </c>
      <c r="E1044" s="56">
        <f>(PI()*(Pinus[[#This Row],[d_cm]]^2))/40000</f>
        <v>3.0295131940803237E-2</v>
      </c>
      <c r="F1044" s="56">
        <f>Pinus[[#This Row],[gi_m²]]*Pinus[[#This Row],[h_m]]*0.45</f>
        <v>0.20340151585055294</v>
      </c>
    </row>
    <row r="1045" spans="1:6" x14ac:dyDescent="0.3">
      <c r="A1045" s="37">
        <v>11</v>
      </c>
      <c r="B1045" s="37">
        <v>44</v>
      </c>
      <c r="C1045" s="55">
        <v>18.96</v>
      </c>
      <c r="D1045" s="55">
        <v>14.76</v>
      </c>
      <c r="E1045" s="56">
        <f>(PI()*(Pinus[[#This Row],[d_cm]]^2))/40000</f>
        <v>2.8233618841517615E-2</v>
      </c>
      <c r="F1045" s="56">
        <f>Pinus[[#This Row],[gi_m²]]*Pinus[[#This Row],[h_m]]*0.45</f>
        <v>0.18752769634535998</v>
      </c>
    </row>
    <row r="1046" spans="1:6" x14ac:dyDescent="0.3">
      <c r="A1046" s="37">
        <v>11</v>
      </c>
      <c r="B1046" s="37">
        <v>45</v>
      </c>
      <c r="C1046" s="55">
        <v>21.86</v>
      </c>
      <c r="D1046" s="55">
        <v>15.38</v>
      </c>
      <c r="E1046" s="56">
        <f>(PI()*(Pinus[[#This Row],[d_cm]]^2))/40000</f>
        <v>3.7531005220183926E-2</v>
      </c>
      <c r="F1046" s="56">
        <f>Pinus[[#This Row],[gi_m²]]*Pinus[[#This Row],[h_m]]*0.45</f>
        <v>0.25975208712889297</v>
      </c>
    </row>
    <row r="1047" spans="1:6" x14ac:dyDescent="0.3">
      <c r="A1047" s="37">
        <v>11</v>
      </c>
      <c r="B1047" s="37">
        <v>46</v>
      </c>
      <c r="C1047" s="55">
        <v>15.92</v>
      </c>
      <c r="D1047" s="55">
        <v>14</v>
      </c>
      <c r="E1047" s="56">
        <f>(PI()*(Pinus[[#This Row],[d_cm]]^2))/40000</f>
        <v>1.9905633707969505E-2</v>
      </c>
      <c r="F1047" s="56">
        <f>Pinus[[#This Row],[gi_m²]]*Pinus[[#This Row],[h_m]]*0.45</f>
        <v>0.1254054923602079</v>
      </c>
    </row>
    <row r="1048" spans="1:6" x14ac:dyDescent="0.3">
      <c r="A1048" s="37">
        <v>11</v>
      </c>
      <c r="B1048" s="37">
        <v>47</v>
      </c>
      <c r="C1048" s="55">
        <v>14.75</v>
      </c>
      <c r="D1048" s="55">
        <v>13.66</v>
      </c>
      <c r="E1048" s="56">
        <f>(PI()*(Pinus[[#This Row],[d_cm]]^2))/40000</f>
        <v>1.7087318792415734E-2</v>
      </c>
      <c r="F1048" s="56">
        <f>Pinus[[#This Row],[gi_m²]]*Pinus[[#This Row],[h_m]]*0.45</f>
        <v>0.10503574861697952</v>
      </c>
    </row>
    <row r="1049" spans="1:6" x14ac:dyDescent="0.3">
      <c r="A1049" s="37">
        <v>11</v>
      </c>
      <c r="B1049" s="37">
        <v>48</v>
      </c>
      <c r="C1049" s="55">
        <v>18.02</v>
      </c>
      <c r="D1049" s="55">
        <v>14.54</v>
      </c>
      <c r="E1049" s="56">
        <f>(PI()*(Pinus[[#This Row],[d_cm]]^2))/40000</f>
        <v>2.5503480577768474E-2</v>
      </c>
      <c r="F1049" s="56">
        <f>Pinus[[#This Row],[gi_m²]]*Pinus[[#This Row],[h_m]]*0.45</f>
        <v>0.16686927342033911</v>
      </c>
    </row>
    <row r="1050" spans="1:6" x14ac:dyDescent="0.3">
      <c r="A1050" s="37">
        <v>11</v>
      </c>
      <c r="B1050" s="37">
        <v>49</v>
      </c>
      <c r="C1050" s="55">
        <v>27.01</v>
      </c>
      <c r="D1050" s="55">
        <v>16.309999999999999</v>
      </c>
      <c r="E1050" s="56">
        <f>(PI()*(Pinus[[#This Row],[d_cm]]^2))/40000</f>
        <v>5.7297945466479074E-2</v>
      </c>
      <c r="F1050" s="56">
        <f>Pinus[[#This Row],[gi_m²]]*Pinus[[#This Row],[h_m]]*0.45</f>
        <v>0.42053827075122313</v>
      </c>
    </row>
    <row r="1051" spans="1:6" x14ac:dyDescent="0.3">
      <c r="A1051" s="37">
        <v>11</v>
      </c>
      <c r="B1051" s="37">
        <v>50</v>
      </c>
      <c r="C1051" s="55">
        <v>20.22</v>
      </c>
      <c r="D1051" s="55">
        <v>15.04</v>
      </c>
      <c r="E1051" s="56">
        <f>(PI()*(Pinus[[#This Row],[d_cm]]^2))/40000</f>
        <v>3.2110878246798528E-2</v>
      </c>
      <c r="F1051" s="56">
        <f>Pinus[[#This Row],[gi_m²]]*Pinus[[#This Row],[h_m]]*0.45</f>
        <v>0.21732642397433244</v>
      </c>
    </row>
    <row r="1052" spans="1:6" x14ac:dyDescent="0.3">
      <c r="A1052" s="37">
        <v>11</v>
      </c>
      <c r="B1052" s="37">
        <v>51</v>
      </c>
      <c r="C1052" s="55">
        <v>21.33</v>
      </c>
      <c r="D1052" s="55">
        <v>15.28</v>
      </c>
      <c r="E1052" s="56">
        <f>(PI()*(Pinus[[#This Row],[d_cm]]^2))/40000</f>
        <v>3.5733173846295721E-2</v>
      </c>
      <c r="F1052" s="56">
        <f>Pinus[[#This Row],[gi_m²]]*Pinus[[#This Row],[h_m]]*0.45</f>
        <v>0.24570130336712939</v>
      </c>
    </row>
    <row r="1053" spans="1:6" x14ac:dyDescent="0.3">
      <c r="A1053" s="37">
        <v>11</v>
      </c>
      <c r="B1053" s="37">
        <v>52</v>
      </c>
      <c r="C1053" s="55">
        <v>19.239999999999998</v>
      </c>
      <c r="D1053" s="55">
        <v>14.83</v>
      </c>
      <c r="E1053" s="56">
        <f>(PI()*(Pinus[[#This Row],[d_cm]]^2))/40000</f>
        <v>2.9073680717087519E-2</v>
      </c>
      <c r="F1053" s="56">
        <f>Pinus[[#This Row],[gi_m²]]*Pinus[[#This Row],[h_m]]*0.45</f>
        <v>0.19402320826548355</v>
      </c>
    </row>
    <row r="1054" spans="1:6" x14ac:dyDescent="0.3">
      <c r="A1054" s="37">
        <v>11</v>
      </c>
      <c r="B1054" s="37">
        <v>53</v>
      </c>
      <c r="C1054" s="55">
        <v>21.88</v>
      </c>
      <c r="D1054" s="55">
        <v>15.39</v>
      </c>
      <c r="E1054" s="56">
        <f>(PI()*(Pinus[[#This Row],[d_cm]]^2))/40000</f>
        <v>3.7599711851517927E-2</v>
      </c>
      <c r="F1054" s="56">
        <f>Pinus[[#This Row],[gi_m²]]*Pinus[[#This Row],[h_m]]*0.45</f>
        <v>0.26039680442768742</v>
      </c>
    </row>
    <row r="1055" spans="1:6" x14ac:dyDescent="0.3">
      <c r="A1055" s="37">
        <v>11</v>
      </c>
      <c r="B1055" s="37">
        <v>54</v>
      </c>
      <c r="C1055" s="55">
        <v>16.190000000000001</v>
      </c>
      <c r="D1055" s="55">
        <v>14.07</v>
      </c>
      <c r="E1055" s="56">
        <f>(PI()*(Pinus[[#This Row],[d_cm]]^2))/40000</f>
        <v>2.058655035369019E-2</v>
      </c>
      <c r="F1055" s="56">
        <f>Pinus[[#This Row],[gi_m²]]*Pinus[[#This Row],[h_m]]*0.45</f>
        <v>0.13034374356438946</v>
      </c>
    </row>
    <row r="1056" spans="1:6" x14ac:dyDescent="0.3">
      <c r="A1056" s="37">
        <v>11</v>
      </c>
      <c r="B1056" s="37">
        <v>55</v>
      </c>
      <c r="C1056" s="55">
        <v>24.63</v>
      </c>
      <c r="D1056" s="55">
        <v>15.91</v>
      </c>
      <c r="E1056" s="56">
        <f>(PI()*(Pinus[[#This Row],[d_cm]]^2))/40000</f>
        <v>4.7645150710912146E-2</v>
      </c>
      <c r="F1056" s="56">
        <f>Pinus[[#This Row],[gi_m²]]*Pinus[[#This Row],[h_m]]*0.45</f>
        <v>0.34111545651477554</v>
      </c>
    </row>
    <row r="1057" spans="1:6" x14ac:dyDescent="0.3">
      <c r="A1057" s="37">
        <v>11</v>
      </c>
      <c r="B1057" s="37">
        <v>56</v>
      </c>
      <c r="C1057" s="55">
        <v>22.34</v>
      </c>
      <c r="D1057" s="55">
        <v>15.48</v>
      </c>
      <c r="E1057" s="56">
        <f>(PI()*(Pinus[[#This Row],[d_cm]]^2))/40000</f>
        <v>3.9197305963647955E-2</v>
      </c>
      <c r="F1057" s="56">
        <f>Pinus[[#This Row],[gi_m²]]*Pinus[[#This Row],[h_m]]*0.45</f>
        <v>0.27304843334277162</v>
      </c>
    </row>
    <row r="1058" spans="1:6" x14ac:dyDescent="0.3">
      <c r="A1058" s="37">
        <v>11</v>
      </c>
      <c r="B1058" s="37">
        <v>57</v>
      </c>
      <c r="C1058" s="55">
        <v>16.77</v>
      </c>
      <c r="D1058" s="55">
        <v>14.23</v>
      </c>
      <c r="E1058" s="56">
        <f>(PI()*(Pinus[[#This Row],[d_cm]]^2))/40000</f>
        <v>2.208798031469382E-2</v>
      </c>
      <c r="F1058" s="56">
        <f>Pinus[[#This Row],[gi_m²]]*Pinus[[#This Row],[h_m]]*0.45</f>
        <v>0.14144038194514189</v>
      </c>
    </row>
    <row r="1059" spans="1:6" x14ac:dyDescent="0.3">
      <c r="A1059" s="37">
        <v>11</v>
      </c>
      <c r="B1059" s="37">
        <v>58</v>
      </c>
      <c r="C1059" s="55">
        <v>20.22</v>
      </c>
      <c r="D1059" s="55">
        <v>15.04</v>
      </c>
      <c r="E1059" s="56">
        <f>(PI()*(Pinus[[#This Row],[d_cm]]^2))/40000</f>
        <v>3.2110878246798528E-2</v>
      </c>
      <c r="F1059" s="56">
        <f>Pinus[[#This Row],[gi_m²]]*Pinus[[#This Row],[h_m]]*0.45</f>
        <v>0.21732642397433244</v>
      </c>
    </row>
    <row r="1060" spans="1:6" x14ac:dyDescent="0.3">
      <c r="A1060" s="37">
        <v>11</v>
      </c>
      <c r="B1060" s="37">
        <v>59</v>
      </c>
      <c r="C1060" s="55">
        <v>22.87</v>
      </c>
      <c r="D1060" s="55">
        <v>15.58</v>
      </c>
      <c r="E1060" s="56">
        <f>(PI()*(Pinus[[#This Row],[d_cm]]^2))/40000</f>
        <v>4.1079222064909486E-2</v>
      </c>
      <c r="F1060" s="56">
        <f>Pinus[[#This Row],[gi_m²]]*Pinus[[#This Row],[h_m]]*0.45</f>
        <v>0.28800642589708042</v>
      </c>
    </row>
    <row r="1061" spans="1:6" x14ac:dyDescent="0.3">
      <c r="A1061" s="37">
        <v>11</v>
      </c>
      <c r="B1061" s="37">
        <v>60</v>
      </c>
      <c r="C1061" s="55">
        <v>22.23</v>
      </c>
      <c r="D1061" s="55">
        <v>15.46</v>
      </c>
      <c r="E1061" s="56">
        <f>(PI()*(Pinus[[#This Row],[d_cm]]^2))/40000</f>
        <v>3.8812248806079086E-2</v>
      </c>
      <c r="F1061" s="56">
        <f>Pinus[[#This Row],[gi_m²]]*Pinus[[#This Row],[h_m]]*0.45</f>
        <v>0.27001681494389224</v>
      </c>
    </row>
    <row r="1062" spans="1:6" x14ac:dyDescent="0.3">
      <c r="A1062" s="37">
        <v>11</v>
      </c>
      <c r="B1062" s="37">
        <v>61</v>
      </c>
      <c r="C1062" s="55">
        <v>25.93</v>
      </c>
      <c r="D1062" s="55">
        <v>16.13</v>
      </c>
      <c r="E1062" s="56">
        <f>(PI()*(Pinus[[#This Row],[d_cm]]^2))/40000</f>
        <v>5.2807415759290904E-2</v>
      </c>
      <c r="F1062" s="56">
        <f>Pinus[[#This Row],[gi_m²]]*Pinus[[#This Row],[h_m]]*0.45</f>
        <v>0.38330262728881298</v>
      </c>
    </row>
    <row r="1063" spans="1:6" x14ac:dyDescent="0.3">
      <c r="A1063" s="37">
        <v>11</v>
      </c>
      <c r="B1063" s="37">
        <v>62</v>
      </c>
      <c r="C1063" s="55">
        <v>17.55</v>
      </c>
      <c r="D1063" s="55">
        <v>14.42</v>
      </c>
      <c r="E1063" s="56">
        <f>(PI()*(Pinus[[#This Row],[d_cm]]^2))/40000</f>
        <v>2.4190459782182257E-2</v>
      </c>
      <c r="F1063" s="56">
        <f>Pinus[[#This Row],[gi_m²]]*Pinus[[#This Row],[h_m]]*0.45</f>
        <v>0.15697189352658067</v>
      </c>
    </row>
    <row r="1064" spans="1:6" x14ac:dyDescent="0.3">
      <c r="A1064" s="37">
        <v>11</v>
      </c>
      <c r="B1064" s="37">
        <v>63</v>
      </c>
      <c r="C1064" s="55">
        <v>24.46</v>
      </c>
      <c r="D1064" s="55">
        <v>15.88</v>
      </c>
      <c r="E1064" s="56">
        <f>(PI()*(Pinus[[#This Row],[d_cm]]^2))/40000</f>
        <v>4.6989712381612078E-2</v>
      </c>
      <c r="F1064" s="56">
        <f>Pinus[[#This Row],[gi_m²]]*Pinus[[#This Row],[h_m]]*0.45</f>
        <v>0.33578848467899991</v>
      </c>
    </row>
    <row r="1065" spans="1:6" x14ac:dyDescent="0.3">
      <c r="A1065" s="37">
        <v>11</v>
      </c>
      <c r="B1065" s="37">
        <v>64</v>
      </c>
      <c r="C1065" s="55">
        <v>24.15</v>
      </c>
      <c r="D1065" s="55">
        <v>15.82</v>
      </c>
      <c r="E1065" s="56">
        <f>(PI()*(Pinus[[#This Row],[d_cm]]^2))/40000</f>
        <v>4.5806188035206828E-2</v>
      </c>
      <c r="F1065" s="56">
        <f>Pinus[[#This Row],[gi_m²]]*Pinus[[#This Row],[h_m]]*0.45</f>
        <v>0.32609425262263741</v>
      </c>
    </row>
    <row r="1066" spans="1:6" x14ac:dyDescent="0.3">
      <c r="A1066" s="37">
        <v>11</v>
      </c>
      <c r="B1066" s="37">
        <v>65</v>
      </c>
      <c r="C1066" s="55">
        <v>19.350000000000001</v>
      </c>
      <c r="D1066" s="55">
        <v>14.85</v>
      </c>
      <c r="E1066" s="56">
        <f>(PI()*(Pinus[[#This Row],[d_cm]]^2))/40000</f>
        <v>2.9407074383468113E-2</v>
      </c>
      <c r="F1066" s="56">
        <f>Pinus[[#This Row],[gi_m²]]*Pinus[[#This Row],[h_m]]*0.45</f>
        <v>0.19651277456752567</v>
      </c>
    </row>
    <row r="1067" spans="1:6" x14ac:dyDescent="0.3">
      <c r="A1067" s="37">
        <v>11</v>
      </c>
      <c r="B1067" s="37">
        <v>66</v>
      </c>
      <c r="C1067" s="55">
        <v>16.100000000000001</v>
      </c>
      <c r="D1067" s="55">
        <v>14.05</v>
      </c>
      <c r="E1067" s="56">
        <f>(PI()*(Pinus[[#This Row],[d_cm]]^2))/40000</f>
        <v>2.035830579342526E-2</v>
      </c>
      <c r="F1067" s="56">
        <f>Pinus[[#This Row],[gi_m²]]*Pinus[[#This Row],[h_m]]*0.45</f>
        <v>0.12871538837893121</v>
      </c>
    </row>
    <row r="1068" spans="1:6" x14ac:dyDescent="0.3">
      <c r="A1068" s="37">
        <v>11</v>
      </c>
      <c r="B1068" s="37">
        <v>67</v>
      </c>
      <c r="C1068" s="55">
        <v>15.64</v>
      </c>
      <c r="D1068" s="55">
        <v>13.92</v>
      </c>
      <c r="E1068" s="56">
        <f>(PI()*(Pinus[[#This Row],[d_cm]]^2))/40000</f>
        <v>1.9211593058938447E-2</v>
      </c>
      <c r="F1068" s="56">
        <f>Pinus[[#This Row],[gi_m²]]*Pinus[[#This Row],[h_m]]*0.45</f>
        <v>0.12034141892119042</v>
      </c>
    </row>
    <row r="1069" spans="1:6" x14ac:dyDescent="0.3">
      <c r="A1069" s="37">
        <v>11</v>
      </c>
      <c r="B1069" s="37">
        <v>68</v>
      </c>
      <c r="C1069" s="55">
        <v>21.83</v>
      </c>
      <c r="D1069" s="55">
        <v>15.38</v>
      </c>
      <c r="E1069" s="56">
        <f>(PI()*(Pinus[[#This Row],[d_cm]]^2))/40000</f>
        <v>3.7428063082907422E-2</v>
      </c>
      <c r="F1069" s="56">
        <f>Pinus[[#This Row],[gi_m²]]*Pinus[[#This Row],[h_m]]*0.45</f>
        <v>0.25903962459680224</v>
      </c>
    </row>
    <row r="1070" spans="1:6" x14ac:dyDescent="0.3">
      <c r="A1070" s="37">
        <v>11</v>
      </c>
      <c r="B1070" s="37">
        <v>69</v>
      </c>
      <c r="C1070" s="55">
        <v>19.72</v>
      </c>
      <c r="D1070" s="55">
        <v>14.93</v>
      </c>
      <c r="E1070" s="56">
        <f>(PI()*(Pinus[[#This Row],[d_cm]]^2))/40000</f>
        <v>3.0542438114493819E-2</v>
      </c>
      <c r="F1070" s="56">
        <f>Pinus[[#This Row],[gi_m²]]*Pinus[[#This Row],[h_m]]*0.45</f>
        <v>0.20519937047222672</v>
      </c>
    </row>
    <row r="1071" spans="1:6" x14ac:dyDescent="0.3">
      <c r="A1071" s="37">
        <v>11</v>
      </c>
      <c r="B1071" s="37">
        <v>70</v>
      </c>
      <c r="C1071" s="55">
        <v>27.12</v>
      </c>
      <c r="D1071" s="55">
        <v>16.329999999999998</v>
      </c>
      <c r="E1071" s="56">
        <f>(PI()*(Pinus[[#This Row],[d_cm]]^2))/40000</f>
        <v>5.7765595094910818E-2</v>
      </c>
      <c r="F1071" s="56">
        <f>Pinus[[#This Row],[gi_m²]]*Pinus[[#This Row],[h_m]]*0.45</f>
        <v>0.42449047555495212</v>
      </c>
    </row>
    <row r="1072" spans="1:6" x14ac:dyDescent="0.3">
      <c r="A1072" s="37">
        <v>11</v>
      </c>
      <c r="B1072" s="37">
        <v>71</v>
      </c>
      <c r="C1072" s="55">
        <v>22.14</v>
      </c>
      <c r="D1072" s="55">
        <v>15.44</v>
      </c>
      <c r="E1072" s="56">
        <f>(PI()*(Pinus[[#This Row],[d_cm]]^2))/40000</f>
        <v>3.8498615757489585E-2</v>
      </c>
      <c r="F1072" s="56">
        <f>Pinus[[#This Row],[gi_m²]]*Pinus[[#This Row],[h_m]]*0.45</f>
        <v>0.26748838228303767</v>
      </c>
    </row>
    <row r="1073" spans="1:6" x14ac:dyDescent="0.3">
      <c r="A1073" s="37">
        <v>11</v>
      </c>
      <c r="B1073" s="37">
        <v>72</v>
      </c>
      <c r="C1073" s="55">
        <v>18.510000000000002</v>
      </c>
      <c r="D1073" s="55">
        <v>14.66</v>
      </c>
      <c r="E1073" s="56">
        <f>(PI()*(Pinus[[#This Row],[d_cm]]^2))/40000</f>
        <v>2.6909319728305008E-2</v>
      </c>
      <c r="F1073" s="56">
        <f>Pinus[[#This Row],[gi_m²]]*Pinus[[#This Row],[h_m]]*0.45</f>
        <v>0.17752078224762816</v>
      </c>
    </row>
    <row r="1074" spans="1:6" x14ac:dyDescent="0.3">
      <c r="A1074" s="37">
        <v>11</v>
      </c>
      <c r="B1074" s="37">
        <v>73</v>
      </c>
      <c r="C1074" s="55">
        <v>15.9</v>
      </c>
      <c r="D1074" s="55">
        <v>13.99</v>
      </c>
      <c r="E1074" s="56">
        <f>(PI()*(Pinus[[#This Row],[d_cm]]^2))/40000</f>
        <v>1.9855650968850891E-2</v>
      </c>
      <c r="F1074" s="56">
        <f>Pinus[[#This Row],[gi_m²]]*Pinus[[#This Row],[h_m]]*0.45</f>
        <v>0.12500125067440077</v>
      </c>
    </row>
    <row r="1075" spans="1:6" x14ac:dyDescent="0.3">
      <c r="A1075" s="37">
        <v>11</v>
      </c>
      <c r="B1075" s="37">
        <v>74</v>
      </c>
      <c r="C1075" s="55">
        <v>17.670000000000002</v>
      </c>
      <c r="D1075" s="55">
        <v>14.45</v>
      </c>
      <c r="E1075" s="56">
        <f>(PI()*(Pinus[[#This Row],[d_cm]]^2))/40000</f>
        <v>2.4522400461960556E-2</v>
      </c>
      <c r="F1075" s="56">
        <f>Pinus[[#This Row],[gi_m²]]*Pinus[[#This Row],[h_m]]*0.45</f>
        <v>0.15945690900389853</v>
      </c>
    </row>
    <row r="1076" spans="1:6" x14ac:dyDescent="0.3">
      <c r="A1076" s="37">
        <v>11</v>
      </c>
      <c r="B1076" s="37">
        <v>75</v>
      </c>
      <c r="C1076" s="55">
        <v>21.37</v>
      </c>
      <c r="D1076" s="55">
        <v>15.29</v>
      </c>
      <c r="E1076" s="56">
        <f>(PI()*(Pinus[[#This Row],[d_cm]]^2))/40000</f>
        <v>3.5867319852604024E-2</v>
      </c>
      <c r="F1076" s="56">
        <f>Pinus[[#This Row],[gi_m²]]*Pinus[[#This Row],[h_m]]*0.45</f>
        <v>0.24678509424584197</v>
      </c>
    </row>
    <row r="1077" spans="1:6" x14ac:dyDescent="0.3">
      <c r="A1077" s="37">
        <v>11</v>
      </c>
      <c r="B1077" s="37">
        <v>76</v>
      </c>
      <c r="C1077" s="55">
        <v>18.2</v>
      </c>
      <c r="D1077" s="55">
        <v>14.58</v>
      </c>
      <c r="E1077" s="56">
        <f>(PI()*(Pinus[[#This Row],[d_cm]]^2))/40000</f>
        <v>2.6015528764377075E-2</v>
      </c>
      <c r="F1077" s="56">
        <f>Pinus[[#This Row],[gi_m²]]*Pinus[[#This Row],[h_m]]*0.45</f>
        <v>0.17068788422307798</v>
      </c>
    </row>
    <row r="1078" spans="1:6" x14ac:dyDescent="0.3">
      <c r="A1078" s="37">
        <v>11</v>
      </c>
      <c r="B1078" s="37">
        <v>77</v>
      </c>
      <c r="C1078" s="55">
        <v>22.06</v>
      </c>
      <c r="D1078" s="55">
        <v>15.42</v>
      </c>
      <c r="E1078" s="56">
        <f>(PI()*(Pinus[[#This Row],[d_cm]]^2))/40000</f>
        <v>3.8220898966912241E-2</v>
      </c>
      <c r="F1078" s="56">
        <f>Pinus[[#This Row],[gi_m²]]*Pinus[[#This Row],[h_m]]*0.45</f>
        <v>0.265214817931404</v>
      </c>
    </row>
    <row r="1079" spans="1:6" x14ac:dyDescent="0.3">
      <c r="A1079" s="37">
        <v>11</v>
      </c>
      <c r="B1079" s="37">
        <v>78</v>
      </c>
      <c r="C1079" s="55">
        <v>18.66</v>
      </c>
      <c r="D1079" s="55">
        <v>14.69</v>
      </c>
      <c r="E1079" s="56">
        <f>(PI()*(Pinus[[#This Row],[d_cm]]^2))/40000</f>
        <v>2.7347218474307256E-2</v>
      </c>
      <c r="F1079" s="56">
        <f>Pinus[[#This Row],[gi_m²]]*Pinus[[#This Row],[h_m]]*0.45</f>
        <v>0.18077878772440811</v>
      </c>
    </row>
    <row r="1080" spans="1:6" x14ac:dyDescent="0.3">
      <c r="A1080" s="37">
        <v>11</v>
      </c>
      <c r="B1080" s="37">
        <v>79</v>
      </c>
      <c r="C1080" s="55">
        <v>19.579999999999998</v>
      </c>
      <c r="D1080" s="55">
        <v>14.9</v>
      </c>
      <c r="E1080" s="56">
        <f>(PI()*(Pinus[[#This Row],[d_cm]]^2))/40000</f>
        <v>3.0110312044992541E-2</v>
      </c>
      <c r="F1080" s="56">
        <f>Pinus[[#This Row],[gi_m²]]*Pinus[[#This Row],[h_m]]*0.45</f>
        <v>0.201889642261675</v>
      </c>
    </row>
    <row r="1081" spans="1:6" x14ac:dyDescent="0.3">
      <c r="A1081" s="37">
        <v>11</v>
      </c>
      <c r="B1081" s="37">
        <v>80</v>
      </c>
      <c r="C1081" s="55">
        <v>17.079999999999998</v>
      </c>
      <c r="D1081" s="55">
        <v>14.3</v>
      </c>
      <c r="E1081" s="56">
        <f>(PI()*(Pinus[[#This Row],[d_cm]]^2))/40000</f>
        <v>2.2912137877454934E-2</v>
      </c>
      <c r="F1081" s="56">
        <f>Pinus[[#This Row],[gi_m²]]*Pinus[[#This Row],[h_m]]*0.45</f>
        <v>0.14743960724142252</v>
      </c>
    </row>
    <row r="1082" spans="1:6" x14ac:dyDescent="0.3">
      <c r="A1082" s="37">
        <v>11</v>
      </c>
      <c r="B1082" s="37">
        <v>81</v>
      </c>
      <c r="C1082" s="55">
        <v>27.62</v>
      </c>
      <c r="D1082" s="55">
        <v>16.41</v>
      </c>
      <c r="E1082" s="56">
        <f>(PI()*(Pinus[[#This Row],[d_cm]]^2))/40000</f>
        <v>5.9915229868129645E-2</v>
      </c>
      <c r="F1082" s="56">
        <f>Pinus[[#This Row],[gi_m²]]*Pinus[[#This Row],[h_m]]*0.45</f>
        <v>0.44244401496120339</v>
      </c>
    </row>
    <row r="1083" spans="1:6" x14ac:dyDescent="0.3">
      <c r="A1083" s="37">
        <v>11</v>
      </c>
      <c r="B1083" s="37">
        <v>82</v>
      </c>
      <c r="C1083" s="55">
        <v>21.33</v>
      </c>
      <c r="D1083" s="55">
        <v>15.28</v>
      </c>
      <c r="E1083" s="56">
        <f>(PI()*(Pinus[[#This Row],[d_cm]]^2))/40000</f>
        <v>3.5733173846295721E-2</v>
      </c>
      <c r="F1083" s="56">
        <f>Pinus[[#This Row],[gi_m²]]*Pinus[[#This Row],[h_m]]*0.45</f>
        <v>0.24570130336712939</v>
      </c>
    </row>
    <row r="1084" spans="1:6" x14ac:dyDescent="0.3">
      <c r="A1084" s="37">
        <v>11</v>
      </c>
      <c r="B1084" s="37">
        <v>83</v>
      </c>
      <c r="C1084" s="55">
        <v>20.92</v>
      </c>
      <c r="D1084" s="55">
        <v>15.19</v>
      </c>
      <c r="E1084" s="56">
        <f>(PI()*(Pinus[[#This Row],[d_cm]]^2))/40000</f>
        <v>3.4372667877750507E-2</v>
      </c>
      <c r="F1084" s="56">
        <f>Pinus[[#This Row],[gi_m²]]*Pinus[[#This Row],[h_m]]*0.45</f>
        <v>0.23495437127836358</v>
      </c>
    </row>
    <row r="1085" spans="1:6" x14ac:dyDescent="0.3">
      <c r="A1085" s="37">
        <v>11</v>
      </c>
      <c r="B1085" s="37">
        <v>84</v>
      </c>
      <c r="C1085" s="55">
        <v>13.23</v>
      </c>
      <c r="D1085" s="55">
        <v>13.19</v>
      </c>
      <c r="E1085" s="56">
        <f>(PI()*(Pinus[[#This Row],[d_cm]]^2))/40000</f>
        <v>1.3747051819412923E-2</v>
      </c>
      <c r="F1085" s="56">
        <f>Pinus[[#This Row],[gi_m²]]*Pinus[[#This Row],[h_m]]*0.45</f>
        <v>8.1595626074125405E-2</v>
      </c>
    </row>
    <row r="1086" spans="1:6" x14ac:dyDescent="0.3">
      <c r="A1086" s="37">
        <v>11</v>
      </c>
      <c r="B1086" s="37">
        <v>85</v>
      </c>
      <c r="C1086" s="55">
        <v>22.64</v>
      </c>
      <c r="D1086" s="55">
        <v>15.54</v>
      </c>
      <c r="E1086" s="56">
        <f>(PI()*(Pinus[[#This Row],[d_cm]]^2))/40000</f>
        <v>4.0257122245336473E-2</v>
      </c>
      <c r="F1086" s="56">
        <f>Pinus[[#This Row],[gi_m²]]*Pinus[[#This Row],[h_m]]*0.45</f>
        <v>0.28151805586163792</v>
      </c>
    </row>
    <row r="1087" spans="1:6" x14ac:dyDescent="0.3">
      <c r="A1087" s="37">
        <v>11</v>
      </c>
      <c r="B1087" s="37">
        <v>86</v>
      </c>
      <c r="C1087" s="55">
        <v>15.91</v>
      </c>
      <c r="D1087" s="55">
        <v>13.99</v>
      </c>
      <c r="E1087" s="56">
        <f>(PI()*(Pinus[[#This Row],[d_cm]]^2))/40000</f>
        <v>1.9880634484428564E-2</v>
      </c>
      <c r="F1087" s="56">
        <f>Pinus[[#This Row],[gi_m²]]*Pinus[[#This Row],[h_m]]*0.45</f>
        <v>0.12515853439672003</v>
      </c>
    </row>
    <row r="1088" spans="1:6" x14ac:dyDescent="0.3">
      <c r="A1088" s="37">
        <v>11</v>
      </c>
      <c r="B1088" s="37">
        <v>87</v>
      </c>
      <c r="C1088" s="55">
        <v>16.43</v>
      </c>
      <c r="D1088" s="55">
        <v>14.14</v>
      </c>
      <c r="E1088" s="56">
        <f>(PI()*(Pinus[[#This Row],[d_cm]]^2))/40000</f>
        <v>2.1201422867850785E-2</v>
      </c>
      <c r="F1088" s="56">
        <f>Pinus[[#This Row],[gi_m²]]*Pinus[[#This Row],[h_m]]*0.45</f>
        <v>0.13490465370813456</v>
      </c>
    </row>
    <row r="1089" spans="1:6" x14ac:dyDescent="0.3">
      <c r="A1089" s="37">
        <v>11</v>
      </c>
      <c r="B1089" s="37">
        <v>88</v>
      </c>
      <c r="C1089" s="55">
        <v>23.67</v>
      </c>
      <c r="D1089" s="55">
        <v>15.73</v>
      </c>
      <c r="E1089" s="56">
        <f>(PI()*(Pinus[[#This Row],[d_cm]]^2))/40000</f>
        <v>4.4003416506870868E-2</v>
      </c>
      <c r="F1089" s="56">
        <f>Pinus[[#This Row],[gi_m²]]*Pinus[[#This Row],[h_m]]*0.45</f>
        <v>0.31147818374388547</v>
      </c>
    </row>
    <row r="1090" spans="1:6" x14ac:dyDescent="0.3">
      <c r="A1090" s="37">
        <v>11</v>
      </c>
      <c r="B1090" s="37">
        <v>89</v>
      </c>
      <c r="C1090" s="55">
        <v>18.190000000000001</v>
      </c>
      <c r="D1090" s="55">
        <v>14.58</v>
      </c>
      <c r="E1090" s="56">
        <f>(PI()*(Pinus[[#This Row],[d_cm]]^2))/40000</f>
        <v>2.5986948125211046E-2</v>
      </c>
      <c r="F1090" s="56">
        <f>Pinus[[#This Row],[gi_m²]]*Pinus[[#This Row],[h_m]]*0.45</f>
        <v>0.17050036664950968</v>
      </c>
    </row>
    <row r="1091" spans="1:6" x14ac:dyDescent="0.3">
      <c r="A1091" s="37">
        <v>11</v>
      </c>
      <c r="B1091" s="37">
        <v>90</v>
      </c>
      <c r="C1091" s="55">
        <v>13.01</v>
      </c>
      <c r="D1091" s="55">
        <v>13.11</v>
      </c>
      <c r="E1091" s="56">
        <f>(PI()*(Pinus[[#This Row],[d_cm]]^2))/40000</f>
        <v>1.3293657167646841E-2</v>
      </c>
      <c r="F1091" s="56">
        <f>Pinus[[#This Row],[gi_m²]]*Pinus[[#This Row],[h_m]]*0.45</f>
        <v>7.8425930460532534E-2</v>
      </c>
    </row>
    <row r="1092" spans="1:6" x14ac:dyDescent="0.3">
      <c r="A1092" s="37">
        <v>11</v>
      </c>
      <c r="B1092" s="37">
        <v>91</v>
      </c>
      <c r="C1092" s="55">
        <v>27.08</v>
      </c>
      <c r="D1092" s="55">
        <v>16.32</v>
      </c>
      <c r="E1092" s="56">
        <f>(PI()*(Pinus[[#This Row],[d_cm]]^2))/40000</f>
        <v>5.7595320773086246E-2</v>
      </c>
      <c r="F1092" s="56">
        <f>Pinus[[#This Row],[gi_m²]]*Pinus[[#This Row],[h_m]]*0.45</f>
        <v>0.42298003575754545</v>
      </c>
    </row>
    <row r="1093" spans="1:6" x14ac:dyDescent="0.3">
      <c r="A1093" s="37">
        <v>11</v>
      </c>
      <c r="B1093" s="37">
        <v>92</v>
      </c>
      <c r="C1093" s="55">
        <v>10.49</v>
      </c>
      <c r="D1093" s="55">
        <v>12.17</v>
      </c>
      <c r="E1093" s="56">
        <f>(PI()*(Pinus[[#This Row],[d_cm]]^2))/40000</f>
        <v>8.642529244007156E-3</v>
      </c>
      <c r="F1093" s="56">
        <f>Pinus[[#This Row],[gi_m²]]*Pinus[[#This Row],[h_m]]*0.45</f>
        <v>4.733081140480519E-2</v>
      </c>
    </row>
    <row r="1094" spans="1:6" x14ac:dyDescent="0.3">
      <c r="A1094" s="37">
        <v>11</v>
      </c>
      <c r="B1094" s="37">
        <v>93</v>
      </c>
      <c r="C1094" s="55">
        <v>22.29</v>
      </c>
      <c r="D1094" s="55">
        <v>15.47</v>
      </c>
      <c r="E1094" s="56">
        <f>(PI()*(Pinus[[#This Row],[d_cm]]^2))/40000</f>
        <v>3.902204436348581E-2</v>
      </c>
      <c r="F1094" s="56">
        <f>Pinus[[#This Row],[gi_m²]]*Pinus[[#This Row],[h_m]]*0.45</f>
        <v>0.2716519618364065</v>
      </c>
    </row>
    <row r="1095" spans="1:6" x14ac:dyDescent="0.3">
      <c r="A1095" s="37">
        <v>11</v>
      </c>
      <c r="B1095" s="37">
        <v>94</v>
      </c>
      <c r="C1095" s="55">
        <v>24.07</v>
      </c>
      <c r="D1095" s="55">
        <v>15.8</v>
      </c>
      <c r="E1095" s="56">
        <f>(PI()*(Pinus[[#This Row],[d_cm]]^2))/40000</f>
        <v>4.5503212839694628E-2</v>
      </c>
      <c r="F1095" s="56">
        <f>Pinus[[#This Row],[gi_m²]]*Pinus[[#This Row],[h_m]]*0.45</f>
        <v>0.32352784329022882</v>
      </c>
    </row>
    <row r="1096" spans="1:6" x14ac:dyDescent="0.3">
      <c r="A1096" s="37">
        <v>11</v>
      </c>
      <c r="B1096" s="37">
        <v>95</v>
      </c>
      <c r="C1096" s="55">
        <v>17.48</v>
      </c>
      <c r="D1096" s="55">
        <v>14.41</v>
      </c>
      <c r="E1096" s="56">
        <f>(PI()*(Pinus[[#This Row],[d_cm]]^2))/40000</f>
        <v>2.3997872298535568E-2</v>
      </c>
      <c r="F1096" s="56">
        <f>Pinus[[#This Row],[gi_m²]]*Pinus[[#This Row],[h_m]]*0.45</f>
        <v>0.15561420291985389</v>
      </c>
    </row>
    <row r="1097" spans="1:6" x14ac:dyDescent="0.3">
      <c r="A1097" s="37">
        <v>11</v>
      </c>
      <c r="B1097" s="37">
        <v>96</v>
      </c>
      <c r="C1097" s="55">
        <v>21.78</v>
      </c>
      <c r="D1097" s="55">
        <v>15.37</v>
      </c>
      <c r="E1097" s="56">
        <f>(PI()*(Pinus[[#This Row],[d_cm]]^2))/40000</f>
        <v>3.7256807013378614E-2</v>
      </c>
      <c r="F1097" s="56">
        <f>Pinus[[#This Row],[gi_m²]]*Pinus[[#This Row],[h_m]]*0.45</f>
        <v>0.25768670570803315</v>
      </c>
    </row>
    <row r="1098" spans="1:6" x14ac:dyDescent="0.3">
      <c r="A1098" s="37">
        <v>11</v>
      </c>
      <c r="B1098" s="37">
        <v>97</v>
      </c>
      <c r="C1098" s="55">
        <v>21.76</v>
      </c>
      <c r="D1098" s="55">
        <v>15.36</v>
      </c>
      <c r="E1098" s="56">
        <f>(PI()*(Pinus[[#This Row],[d_cm]]^2))/40000</f>
        <v>3.7188414541309972E-2</v>
      </c>
      <c r="F1098" s="56">
        <f>Pinus[[#This Row],[gi_m²]]*Pinus[[#This Row],[h_m]]*0.45</f>
        <v>0.25704632130953453</v>
      </c>
    </row>
    <row r="1099" spans="1:6" x14ac:dyDescent="0.3">
      <c r="A1099" s="37">
        <v>11</v>
      </c>
      <c r="B1099" s="37">
        <v>98</v>
      </c>
      <c r="C1099" s="55">
        <v>24.16</v>
      </c>
      <c r="D1099" s="55">
        <v>15.82</v>
      </c>
      <c r="E1099" s="56">
        <f>(PI()*(Pinus[[#This Row],[d_cm]]^2))/40000</f>
        <v>4.584413062048056E-2</v>
      </c>
      <c r="F1099" s="56">
        <f>Pinus[[#This Row],[gi_m²]]*Pinus[[#This Row],[h_m]]*0.45</f>
        <v>0.32636436588720114</v>
      </c>
    </row>
    <row r="1100" spans="1:6" x14ac:dyDescent="0.3">
      <c r="A1100" s="37">
        <v>11</v>
      </c>
      <c r="B1100" s="37">
        <v>99</v>
      </c>
      <c r="C1100" s="55">
        <v>21.94</v>
      </c>
      <c r="D1100" s="55">
        <v>15.4</v>
      </c>
      <c r="E1100" s="56">
        <f>(PI()*(Pinus[[#This Row],[d_cm]]^2))/40000</f>
        <v>3.7806208736638397E-2</v>
      </c>
      <c r="F1100" s="56">
        <f>Pinus[[#This Row],[gi_m²]]*Pinus[[#This Row],[h_m]]*0.45</f>
        <v>0.26199702654490409</v>
      </c>
    </row>
    <row r="1101" spans="1:6" x14ac:dyDescent="0.3">
      <c r="A1101" s="37">
        <v>11</v>
      </c>
      <c r="B1101" s="37">
        <v>100</v>
      </c>
      <c r="C1101" s="55">
        <v>19.02</v>
      </c>
      <c r="D1101" s="55">
        <v>14.78</v>
      </c>
      <c r="E1101" s="56">
        <f>(PI()*(Pinus[[#This Row],[d_cm]]^2))/40000</f>
        <v>2.8412595374992623E-2</v>
      </c>
      <c r="F1101" s="56">
        <f>Pinus[[#This Row],[gi_m²]]*Pinus[[#This Row],[h_m]]*0.45</f>
        <v>0.18897217183907594</v>
      </c>
    </row>
    <row r="1102" spans="1:6" x14ac:dyDescent="0.3">
      <c r="A1102" s="37">
        <v>12</v>
      </c>
      <c r="B1102" s="37">
        <v>1</v>
      </c>
      <c r="C1102" s="55">
        <v>23.66</v>
      </c>
      <c r="D1102" s="55">
        <v>17.54</v>
      </c>
      <c r="E1102" s="56">
        <f>(PI()*(Pinus[[#This Row],[d_cm]]^2))/40000</f>
        <v>4.3966243611797261E-2</v>
      </c>
      <c r="F1102" s="56">
        <f>Pinus[[#This Row],[gi_m²]]*Pinus[[#This Row],[h_m]]*0.45</f>
        <v>0.34702556082791575</v>
      </c>
    </row>
    <row r="1103" spans="1:6" x14ac:dyDescent="0.3">
      <c r="A1103" s="37">
        <v>12</v>
      </c>
      <c r="B1103" s="37">
        <v>2</v>
      </c>
      <c r="C1103" s="55">
        <v>23.2</v>
      </c>
      <c r="D1103" s="55">
        <v>17.45</v>
      </c>
      <c r="E1103" s="56">
        <f>(PI()*(Pinus[[#This Row],[d_cm]]^2))/40000</f>
        <v>4.2273270746704256E-2</v>
      </c>
      <c r="F1103" s="56">
        <f>Pinus[[#This Row],[gi_m²]]*Pinus[[#This Row],[h_m]]*0.45</f>
        <v>0.33195085853849515</v>
      </c>
    </row>
    <row r="1104" spans="1:6" x14ac:dyDescent="0.3">
      <c r="A1104" s="37">
        <v>12</v>
      </c>
      <c r="B1104" s="37">
        <v>3</v>
      </c>
      <c r="C1104" s="55">
        <v>16.25</v>
      </c>
      <c r="D1104" s="55">
        <v>15.71</v>
      </c>
      <c r="E1104" s="56">
        <f>(PI()*(Pinus[[#This Row],[d_cm]]^2))/40000</f>
        <v>2.0739420252213869E-2</v>
      </c>
      <c r="F1104" s="56">
        <f>Pinus[[#This Row],[gi_m²]]*Pinus[[#This Row],[h_m]]*0.45</f>
        <v>0.14661733147302597</v>
      </c>
    </row>
    <row r="1105" spans="1:6" x14ac:dyDescent="0.3">
      <c r="A1105" s="37">
        <v>12</v>
      </c>
      <c r="B1105" s="37">
        <v>4</v>
      </c>
      <c r="C1105" s="55">
        <v>14.4</v>
      </c>
      <c r="D1105" s="55">
        <v>15.12</v>
      </c>
      <c r="E1105" s="56">
        <f>(PI()*(Pinus[[#This Row],[d_cm]]^2))/40000</f>
        <v>1.628601631620949E-2</v>
      </c>
      <c r="F1105" s="56">
        <f>Pinus[[#This Row],[gi_m²]]*Pinus[[#This Row],[h_m]]*0.45</f>
        <v>0.11081005501548936</v>
      </c>
    </row>
    <row r="1106" spans="1:6" x14ac:dyDescent="0.3">
      <c r="A1106" s="37">
        <v>12</v>
      </c>
      <c r="B1106" s="37">
        <v>5</v>
      </c>
      <c r="C1106" s="55">
        <v>20.64</v>
      </c>
      <c r="D1106" s="55">
        <v>16.88</v>
      </c>
      <c r="E1106" s="56">
        <f>(PI()*(Pinus[[#This Row],[d_cm]]^2))/40000</f>
        <v>3.3458715742968159E-2</v>
      </c>
      <c r="F1106" s="56">
        <f>Pinus[[#This Row],[gi_m²]]*Pinus[[#This Row],[h_m]]*0.45</f>
        <v>0.25415240478358614</v>
      </c>
    </row>
    <row r="1107" spans="1:6" x14ac:dyDescent="0.3">
      <c r="A1107" s="37">
        <v>12</v>
      </c>
      <c r="B1107" s="37">
        <v>6</v>
      </c>
      <c r="C1107" s="55">
        <v>18.899999999999999</v>
      </c>
      <c r="D1107" s="55">
        <v>16.45</v>
      </c>
      <c r="E1107" s="56">
        <f>(PI()*(Pinus[[#This Row],[d_cm]]^2))/40000</f>
        <v>2.8055207794720247E-2</v>
      </c>
      <c r="F1107" s="56">
        <f>Pinus[[#This Row],[gi_m²]]*Pinus[[#This Row],[h_m]]*0.45</f>
        <v>0.20767867570041662</v>
      </c>
    </row>
    <row r="1108" spans="1:6" x14ac:dyDescent="0.3">
      <c r="A1108" s="37">
        <v>12</v>
      </c>
      <c r="B1108" s="37">
        <v>7</v>
      </c>
      <c r="C1108" s="55">
        <v>16.059999999999999</v>
      </c>
      <c r="D1108" s="55">
        <v>15.65</v>
      </c>
      <c r="E1108" s="56">
        <f>(PI()*(Pinus[[#This Row],[d_cm]]^2))/40000</f>
        <v>2.0257272173685805E-2</v>
      </c>
      <c r="F1108" s="56">
        <f>Pinus[[#This Row],[gi_m²]]*Pinus[[#This Row],[h_m]]*0.45</f>
        <v>0.14266183928318227</v>
      </c>
    </row>
    <row r="1109" spans="1:6" x14ac:dyDescent="0.3">
      <c r="A1109" s="37">
        <v>12</v>
      </c>
      <c r="B1109" s="37">
        <v>8</v>
      </c>
      <c r="C1109" s="55">
        <v>20.34</v>
      </c>
      <c r="D1109" s="55">
        <v>16.809999999999999</v>
      </c>
      <c r="E1109" s="56">
        <f>(PI()*(Pinus[[#This Row],[d_cm]]^2))/40000</f>
        <v>3.2493147240887331E-2</v>
      </c>
      <c r="F1109" s="56">
        <f>Pinus[[#This Row],[gi_m²]]*Pinus[[#This Row],[h_m]]*0.45</f>
        <v>0.24579441230369217</v>
      </c>
    </row>
    <row r="1110" spans="1:6" x14ac:dyDescent="0.3">
      <c r="A1110" s="37">
        <v>12</v>
      </c>
      <c r="B1110" s="37">
        <v>9</v>
      </c>
      <c r="C1110" s="55">
        <v>14.72</v>
      </c>
      <c r="D1110" s="55">
        <v>15.23</v>
      </c>
      <c r="E1110" s="56">
        <f>(PI()*(Pinus[[#This Row],[d_cm]]^2))/40000</f>
        <v>1.7017881740789768E-2</v>
      </c>
      <c r="F1110" s="56">
        <f>Pinus[[#This Row],[gi_m²]]*Pinus[[#This Row],[h_m]]*0.45</f>
        <v>0.1166320525105027</v>
      </c>
    </row>
    <row r="1111" spans="1:6" x14ac:dyDescent="0.3">
      <c r="A1111" s="37">
        <v>12</v>
      </c>
      <c r="B1111" s="37">
        <v>10</v>
      </c>
      <c r="C1111" s="55">
        <v>20.64</v>
      </c>
      <c r="D1111" s="55">
        <v>16.88</v>
      </c>
      <c r="E1111" s="56">
        <f>(PI()*(Pinus[[#This Row],[d_cm]]^2))/40000</f>
        <v>3.3458715742968159E-2</v>
      </c>
      <c r="F1111" s="56">
        <f>Pinus[[#This Row],[gi_m²]]*Pinus[[#This Row],[h_m]]*0.45</f>
        <v>0.25415240478358614</v>
      </c>
    </row>
    <row r="1112" spans="1:6" x14ac:dyDescent="0.3">
      <c r="A1112" s="37">
        <v>12</v>
      </c>
      <c r="B1112" s="37">
        <v>11</v>
      </c>
      <c r="C1112" s="55">
        <v>17.5</v>
      </c>
      <c r="D1112" s="55">
        <v>16.07</v>
      </c>
      <c r="E1112" s="56">
        <f>(PI()*(Pinus[[#This Row],[d_cm]]^2))/40000</f>
        <v>2.4052818754046853E-2</v>
      </c>
      <c r="F1112" s="56">
        <f>Pinus[[#This Row],[gi_m²]]*Pinus[[#This Row],[h_m]]*0.45</f>
        <v>0.17393795881988983</v>
      </c>
    </row>
    <row r="1113" spans="1:6" x14ac:dyDescent="0.3">
      <c r="A1113" s="37">
        <v>12</v>
      </c>
      <c r="B1113" s="37">
        <v>12</v>
      </c>
      <c r="C1113" s="55">
        <v>23.83</v>
      </c>
      <c r="D1113" s="55">
        <v>17.579999999999998</v>
      </c>
      <c r="E1113" s="56">
        <f>(PI()*(Pinus[[#This Row],[d_cm]]^2))/40000</f>
        <v>4.4600319111052916E-2</v>
      </c>
      <c r="F1113" s="56">
        <f>Pinus[[#This Row],[gi_m²]]*Pinus[[#This Row],[h_m]]*0.45</f>
        <v>0.35283312448753962</v>
      </c>
    </row>
    <row r="1114" spans="1:6" x14ac:dyDescent="0.3">
      <c r="A1114" s="37">
        <v>12</v>
      </c>
      <c r="B1114" s="37">
        <v>13</v>
      </c>
      <c r="C1114" s="55">
        <v>29.7</v>
      </c>
      <c r="D1114" s="55">
        <v>18.649999999999999</v>
      </c>
      <c r="E1114" s="56">
        <f>(PI()*(Pinus[[#This Row],[d_cm]]^2))/40000</f>
        <v>6.9279186595125511E-2</v>
      </c>
      <c r="F1114" s="56">
        <f>Pinus[[#This Row],[gi_m²]]*Pinus[[#This Row],[h_m]]*0.45</f>
        <v>0.58142557349959079</v>
      </c>
    </row>
    <row r="1115" spans="1:6" x14ac:dyDescent="0.3">
      <c r="A1115" s="37">
        <v>12</v>
      </c>
      <c r="B1115" s="37">
        <v>14</v>
      </c>
      <c r="C1115" s="55">
        <v>16.34</v>
      </c>
      <c r="D1115" s="55">
        <v>15.74</v>
      </c>
      <c r="E1115" s="56">
        <f>(PI()*(Pinus[[#This Row],[d_cm]]^2))/40000</f>
        <v>2.0969785387519972E-2</v>
      </c>
      <c r="F1115" s="56">
        <f>Pinus[[#This Row],[gi_m²]]*Pinus[[#This Row],[h_m]]*0.45</f>
        <v>0.14852898989980398</v>
      </c>
    </row>
    <row r="1116" spans="1:6" x14ac:dyDescent="0.3">
      <c r="A1116" s="37">
        <v>12</v>
      </c>
      <c r="B1116" s="37">
        <v>15</v>
      </c>
      <c r="C1116" s="55">
        <v>24.23</v>
      </c>
      <c r="D1116" s="55">
        <v>17.66</v>
      </c>
      <c r="E1116" s="56">
        <f>(PI()*(Pinus[[#This Row],[d_cm]]^2))/40000</f>
        <v>4.6110168540368174E-2</v>
      </c>
      <c r="F1116" s="56">
        <f>Pinus[[#This Row],[gi_m²]]*Pinus[[#This Row],[h_m]]*0.45</f>
        <v>0.36643750939030589</v>
      </c>
    </row>
    <row r="1117" spans="1:6" x14ac:dyDescent="0.3">
      <c r="A1117" s="37">
        <v>12</v>
      </c>
      <c r="B1117" s="37">
        <v>16</v>
      </c>
      <c r="C1117" s="55">
        <v>23.3</v>
      </c>
      <c r="D1117" s="55">
        <v>17.47</v>
      </c>
      <c r="E1117" s="56">
        <f>(PI()*(Pinus[[#This Row],[d_cm]]^2))/40000</f>
        <v>4.2638480892684065E-2</v>
      </c>
      <c r="F1117" s="56">
        <f>Pinus[[#This Row],[gi_m²]]*Pinus[[#This Row],[h_m]]*0.45</f>
        <v>0.33520241753783575</v>
      </c>
    </row>
    <row r="1118" spans="1:6" x14ac:dyDescent="0.3">
      <c r="A1118" s="37">
        <v>12</v>
      </c>
      <c r="B1118" s="37">
        <v>17</v>
      </c>
      <c r="C1118" s="55">
        <v>19.72</v>
      </c>
      <c r="D1118" s="55">
        <v>16.66</v>
      </c>
      <c r="E1118" s="56">
        <f>(PI()*(Pinus[[#This Row],[d_cm]]^2))/40000</f>
        <v>3.0542438114493819E-2</v>
      </c>
      <c r="F1118" s="56">
        <f>Pinus[[#This Row],[gi_m²]]*Pinus[[#This Row],[h_m]]*0.45</f>
        <v>0.22897665854436017</v>
      </c>
    </row>
    <row r="1119" spans="1:6" x14ac:dyDescent="0.3">
      <c r="A1119" s="37">
        <v>12</v>
      </c>
      <c r="B1119" s="37">
        <v>18</v>
      </c>
      <c r="C1119" s="55">
        <v>18.190000000000001</v>
      </c>
      <c r="D1119" s="55">
        <v>16.260000000000002</v>
      </c>
      <c r="E1119" s="56">
        <f>(PI()*(Pinus[[#This Row],[d_cm]]^2))/40000</f>
        <v>2.5986948125211046E-2</v>
      </c>
      <c r="F1119" s="56">
        <f>Pinus[[#This Row],[gi_m²]]*Pinus[[#This Row],[h_m]]*0.45</f>
        <v>0.19014649943216924</v>
      </c>
    </row>
    <row r="1120" spans="1:6" x14ac:dyDescent="0.3">
      <c r="A1120" s="37">
        <v>12</v>
      </c>
      <c r="B1120" s="37">
        <v>19</v>
      </c>
      <c r="C1120" s="55">
        <v>26.3</v>
      </c>
      <c r="D1120" s="55">
        <v>18.059999999999999</v>
      </c>
      <c r="E1120" s="56">
        <f>(PI()*(Pinus[[#This Row],[d_cm]]^2))/40000</f>
        <v>5.4325205564038109E-2</v>
      </c>
      <c r="F1120" s="56">
        <f>Pinus[[#This Row],[gi_m²]]*Pinus[[#This Row],[h_m]]*0.45</f>
        <v>0.44150094561893766</v>
      </c>
    </row>
    <row r="1121" spans="1:6" x14ac:dyDescent="0.3">
      <c r="A1121" s="37">
        <v>12</v>
      </c>
      <c r="B1121" s="37">
        <v>20</v>
      </c>
      <c r="C1121" s="55">
        <v>11.98</v>
      </c>
      <c r="D1121" s="55">
        <v>14.22</v>
      </c>
      <c r="E1121" s="56">
        <f>(PI()*(Pinus[[#This Row],[d_cm]]^2))/40000</f>
        <v>1.1272065857006715E-2</v>
      </c>
      <c r="F1121" s="56">
        <f>Pinus[[#This Row],[gi_m²]]*Pinus[[#This Row],[h_m]]*0.45</f>
        <v>7.2129949418985984E-2</v>
      </c>
    </row>
    <row r="1122" spans="1:6" x14ac:dyDescent="0.3">
      <c r="A1122" s="37">
        <v>12</v>
      </c>
      <c r="B1122" s="37">
        <v>21</v>
      </c>
      <c r="C1122" s="55">
        <v>17.43</v>
      </c>
      <c r="D1122" s="55">
        <v>16.05</v>
      </c>
      <c r="E1122" s="56">
        <f>(PI()*(Pinus[[#This Row],[d_cm]]^2))/40000</f>
        <v>2.386078104911454E-2</v>
      </c>
      <c r="F1122" s="56">
        <f>Pinus[[#This Row],[gi_m²]]*Pinus[[#This Row],[h_m]]*0.45</f>
        <v>0.17233449112722979</v>
      </c>
    </row>
    <row r="1123" spans="1:6" x14ac:dyDescent="0.3">
      <c r="A1123" s="37">
        <v>12</v>
      </c>
      <c r="B1123" s="37">
        <v>22</v>
      </c>
      <c r="C1123" s="55">
        <v>14.25</v>
      </c>
      <c r="D1123" s="55">
        <v>15.07</v>
      </c>
      <c r="E1123" s="56">
        <f>(PI()*(Pinus[[#This Row],[d_cm]]^2))/40000</f>
        <v>1.5948491455489433E-2</v>
      </c>
      <c r="F1123" s="56">
        <f>Pinus[[#This Row],[gi_m²]]*Pinus[[#This Row],[h_m]]*0.45</f>
        <v>0.1081546948054016</v>
      </c>
    </row>
    <row r="1124" spans="1:6" x14ac:dyDescent="0.3">
      <c r="A1124" s="37">
        <v>12</v>
      </c>
      <c r="B1124" s="37">
        <v>23</v>
      </c>
      <c r="C1124" s="55">
        <v>25.58</v>
      </c>
      <c r="D1124" s="55">
        <v>17.920000000000002</v>
      </c>
      <c r="E1124" s="56">
        <f>(PI()*(Pinus[[#This Row],[d_cm]]^2))/40000</f>
        <v>5.1391460680409798E-2</v>
      </c>
      <c r="F1124" s="56">
        <f>Pinus[[#This Row],[gi_m²]]*Pinus[[#This Row],[h_m]]*0.45</f>
        <v>0.41442073892682468</v>
      </c>
    </row>
    <row r="1125" spans="1:6" x14ac:dyDescent="0.3">
      <c r="A1125" s="37">
        <v>12</v>
      </c>
      <c r="B1125" s="37">
        <v>24</v>
      </c>
      <c r="C1125" s="55">
        <v>19.239999999999998</v>
      </c>
      <c r="D1125" s="55">
        <v>16.53</v>
      </c>
      <c r="E1125" s="56">
        <f>(PI()*(Pinus[[#This Row],[d_cm]]^2))/40000</f>
        <v>2.9073680717087519E-2</v>
      </c>
      <c r="F1125" s="56">
        <f>Pinus[[#This Row],[gi_m²]]*Pinus[[#This Row],[h_m]]*0.45</f>
        <v>0.21626457401405555</v>
      </c>
    </row>
    <row r="1126" spans="1:6" x14ac:dyDescent="0.3">
      <c r="A1126" s="37">
        <v>12</v>
      </c>
      <c r="B1126" s="37">
        <v>25</v>
      </c>
      <c r="C1126" s="55">
        <v>17.899999999999999</v>
      </c>
      <c r="D1126" s="55">
        <v>16.18</v>
      </c>
      <c r="E1126" s="56">
        <f>(PI()*(Pinus[[#This Row],[d_cm]]^2))/40000</f>
        <v>2.5164942553417637E-2</v>
      </c>
      <c r="F1126" s="56">
        <f>Pinus[[#This Row],[gi_m²]]*Pinus[[#This Row],[h_m]]*0.45</f>
        <v>0.1832259467314338</v>
      </c>
    </row>
    <row r="1127" spans="1:6" x14ac:dyDescent="0.3">
      <c r="A1127" s="37">
        <v>12</v>
      </c>
      <c r="B1127" s="37">
        <v>26</v>
      </c>
      <c r="C1127" s="55">
        <v>32.74</v>
      </c>
      <c r="D1127" s="55">
        <v>19.13</v>
      </c>
      <c r="E1127" s="56">
        <f>(PI()*(Pinus[[#This Row],[d_cm]]^2))/40000</f>
        <v>8.4187426037176674E-2</v>
      </c>
      <c r="F1127" s="56">
        <f>Pinus[[#This Row],[gi_m²]]*Pinus[[#This Row],[h_m]]*0.45</f>
        <v>0.72472745704103536</v>
      </c>
    </row>
    <row r="1128" spans="1:6" x14ac:dyDescent="0.3">
      <c r="A1128" s="37">
        <v>12</v>
      </c>
      <c r="B1128" s="37">
        <v>27</v>
      </c>
      <c r="C1128" s="55">
        <v>19.8</v>
      </c>
      <c r="D1128" s="55">
        <v>16.68</v>
      </c>
      <c r="E1128" s="56">
        <f>(PI()*(Pinus[[#This Row],[d_cm]]^2))/40000</f>
        <v>3.0790749597833563E-2</v>
      </c>
      <c r="F1128" s="56">
        <f>Pinus[[#This Row],[gi_m²]]*Pinus[[#This Row],[h_m]]*0.45</f>
        <v>0.23111536648133874</v>
      </c>
    </row>
    <row r="1129" spans="1:6" x14ac:dyDescent="0.3">
      <c r="A1129" s="37">
        <v>12</v>
      </c>
      <c r="B1129" s="37">
        <v>28</v>
      </c>
      <c r="C1129" s="55">
        <v>18.23</v>
      </c>
      <c r="D1129" s="55">
        <v>16.27</v>
      </c>
      <c r="E1129" s="56">
        <f>(PI()*(Pinus[[#This Row],[d_cm]]^2))/40000</f>
        <v>2.6101364929654786E-2</v>
      </c>
      <c r="F1129" s="56">
        <f>Pinus[[#This Row],[gi_m²]]*Pinus[[#This Row],[h_m]]*0.45</f>
        <v>0.19110114333246753</v>
      </c>
    </row>
    <row r="1130" spans="1:6" x14ac:dyDescent="0.3">
      <c r="A1130" s="37">
        <v>12</v>
      </c>
      <c r="B1130" s="37">
        <v>29</v>
      </c>
      <c r="C1130" s="55">
        <v>21.2</v>
      </c>
      <c r="D1130" s="55">
        <v>17.010000000000002</v>
      </c>
      <c r="E1130" s="56">
        <f>(PI()*(Pinus[[#This Row],[d_cm]]^2))/40000</f>
        <v>3.5298935055734913E-2</v>
      </c>
      <c r="F1130" s="56">
        <f>Pinus[[#This Row],[gi_m²]]*Pinus[[#This Row],[h_m]]*0.45</f>
        <v>0.27019569838412288</v>
      </c>
    </row>
    <row r="1131" spans="1:6" x14ac:dyDescent="0.3">
      <c r="A1131" s="37">
        <v>12</v>
      </c>
      <c r="B1131" s="37">
        <v>30</v>
      </c>
      <c r="C1131" s="55">
        <v>13.73</v>
      </c>
      <c r="D1131" s="55">
        <v>14.89</v>
      </c>
      <c r="E1131" s="56">
        <f>(PI()*(Pinus[[#This Row],[d_cm]]^2))/40000</f>
        <v>1.4805768543672684E-2</v>
      </c>
      <c r="F1131" s="56">
        <f>Pinus[[#This Row],[gi_m²]]*Pinus[[#This Row],[h_m]]*0.45</f>
        <v>9.9206052126878816E-2</v>
      </c>
    </row>
    <row r="1132" spans="1:6" x14ac:dyDescent="0.3">
      <c r="A1132" s="37">
        <v>12</v>
      </c>
      <c r="B1132" s="37">
        <v>31</v>
      </c>
      <c r="C1132" s="55">
        <v>21.96</v>
      </c>
      <c r="D1132" s="55">
        <v>17.18</v>
      </c>
      <c r="E1132" s="56">
        <f>(PI()*(Pinus[[#This Row],[d_cm]]^2))/40000</f>
        <v>3.7875166695384696E-2</v>
      </c>
      <c r="F1132" s="56">
        <f>Pinus[[#This Row],[gi_m²]]*Pinus[[#This Row],[h_m]]*0.45</f>
        <v>0.29281291372201912</v>
      </c>
    </row>
    <row r="1133" spans="1:6" x14ac:dyDescent="0.3">
      <c r="A1133" s="37">
        <v>12</v>
      </c>
      <c r="B1133" s="37">
        <v>32</v>
      </c>
      <c r="C1133" s="55">
        <v>19.62</v>
      </c>
      <c r="D1133" s="55">
        <v>16.63</v>
      </c>
      <c r="E1133" s="56">
        <f>(PI()*(Pinus[[#This Row],[d_cm]]^2))/40000</f>
        <v>3.0233462477013272E-2</v>
      </c>
      <c r="F1133" s="56">
        <f>Pinus[[#This Row],[gi_m²]]*Pinus[[#This Row],[h_m]]*0.45</f>
        <v>0.22625211644672882</v>
      </c>
    </row>
    <row r="1134" spans="1:6" x14ac:dyDescent="0.3">
      <c r="A1134" s="37">
        <v>12</v>
      </c>
      <c r="B1134" s="37">
        <v>33</v>
      </c>
      <c r="C1134" s="55">
        <v>21.87</v>
      </c>
      <c r="D1134" s="55">
        <v>17.16</v>
      </c>
      <c r="E1134" s="56">
        <f>(PI()*(Pinus[[#This Row],[d_cm]]^2))/40000</f>
        <v>3.7565350681869301E-2</v>
      </c>
      <c r="F1134" s="56">
        <f>Pinus[[#This Row],[gi_m²]]*Pinus[[#This Row],[h_m]]*0.45</f>
        <v>0.29007963796539477</v>
      </c>
    </row>
    <row r="1135" spans="1:6" x14ac:dyDescent="0.3">
      <c r="A1135" s="37">
        <v>12</v>
      </c>
      <c r="B1135" s="37">
        <v>34</v>
      </c>
      <c r="C1135" s="55">
        <v>16.07</v>
      </c>
      <c r="D1135" s="55">
        <v>15.66</v>
      </c>
      <c r="E1135" s="56">
        <f>(PI()*(Pinus[[#This Row],[d_cm]]^2))/40000</f>
        <v>2.028250701667577E-2</v>
      </c>
      <c r="F1135" s="56">
        <f>Pinus[[#This Row],[gi_m²]]*Pinus[[#This Row],[h_m]]*0.45</f>
        <v>0.14293082694651416</v>
      </c>
    </row>
    <row r="1136" spans="1:6" x14ac:dyDescent="0.3">
      <c r="A1136" s="37">
        <v>12</v>
      </c>
      <c r="B1136" s="37">
        <v>35</v>
      </c>
      <c r="C1136" s="55">
        <v>15.91</v>
      </c>
      <c r="D1136" s="55">
        <v>15.61</v>
      </c>
      <c r="E1136" s="56">
        <f>(PI()*(Pinus[[#This Row],[d_cm]]^2))/40000</f>
        <v>1.9880634484428564E-2</v>
      </c>
      <c r="F1136" s="56">
        <f>Pinus[[#This Row],[gi_m²]]*Pinus[[#This Row],[h_m]]*0.45</f>
        <v>0.13965151693586844</v>
      </c>
    </row>
    <row r="1137" spans="1:6" x14ac:dyDescent="0.3">
      <c r="A1137" s="37">
        <v>12</v>
      </c>
      <c r="B1137" s="37">
        <v>36</v>
      </c>
      <c r="C1137" s="55">
        <v>17.23</v>
      </c>
      <c r="D1137" s="55">
        <v>16</v>
      </c>
      <c r="E1137" s="56">
        <f>(PI()*(Pinus[[#This Row],[d_cm]]^2))/40000</f>
        <v>2.3316343042247435E-2</v>
      </c>
      <c r="F1137" s="56">
        <f>Pinus[[#This Row],[gi_m²]]*Pinus[[#This Row],[h_m]]*0.45</f>
        <v>0.16787766990418154</v>
      </c>
    </row>
    <row r="1138" spans="1:6" x14ac:dyDescent="0.3">
      <c r="A1138" s="37">
        <v>12</v>
      </c>
      <c r="B1138" s="37">
        <v>37</v>
      </c>
      <c r="C1138" s="55">
        <v>16.93</v>
      </c>
      <c r="D1138" s="55">
        <v>15.91</v>
      </c>
      <c r="E1138" s="56">
        <f>(PI()*(Pinus[[#This Row],[d_cm]]^2))/40000</f>
        <v>2.2511467004397726E-2</v>
      </c>
      <c r="F1138" s="56">
        <f>Pinus[[#This Row],[gi_m²]]*Pinus[[#This Row],[h_m]]*0.45</f>
        <v>0.16117084801798551</v>
      </c>
    </row>
    <row r="1139" spans="1:6" x14ac:dyDescent="0.3">
      <c r="A1139" s="37">
        <v>12</v>
      </c>
      <c r="B1139" s="37">
        <v>38</v>
      </c>
      <c r="C1139" s="55">
        <v>25.2</v>
      </c>
      <c r="D1139" s="55">
        <v>17.850000000000001</v>
      </c>
      <c r="E1139" s="56">
        <f>(PI()*(Pinus[[#This Row],[d_cm]]^2))/40000</f>
        <v>4.987592496839155E-2</v>
      </c>
      <c r="F1139" s="56">
        <f>Pinus[[#This Row],[gi_m²]]*Pinus[[#This Row],[h_m]]*0.45</f>
        <v>0.40062836730860518</v>
      </c>
    </row>
    <row r="1140" spans="1:6" x14ac:dyDescent="0.3">
      <c r="A1140" s="37">
        <v>12</v>
      </c>
      <c r="B1140" s="37">
        <v>39</v>
      </c>
      <c r="C1140" s="55">
        <v>26.32</v>
      </c>
      <c r="D1140" s="55">
        <v>18.059999999999999</v>
      </c>
      <c r="E1140" s="56">
        <f>(PI()*(Pinus[[#This Row],[d_cm]]^2))/40000</f>
        <v>5.4407860866754046E-2</v>
      </c>
      <c r="F1140" s="56">
        <f>Pinus[[#This Row],[gi_m²]]*Pinus[[#This Row],[h_m]]*0.45</f>
        <v>0.44217268526411008</v>
      </c>
    </row>
    <row r="1141" spans="1:6" x14ac:dyDescent="0.3">
      <c r="A1141" s="37">
        <v>12</v>
      </c>
      <c r="B1141" s="37">
        <v>40</v>
      </c>
      <c r="C1141" s="55">
        <v>19.37</v>
      </c>
      <c r="D1141" s="55">
        <v>16.57</v>
      </c>
      <c r="E1141" s="56">
        <f>(PI()*(Pinus[[#This Row],[d_cm]]^2))/40000</f>
        <v>2.9467895617241606E-2</v>
      </c>
      <c r="F1141" s="56">
        <f>Pinus[[#This Row],[gi_m²]]*Pinus[[#This Row],[h_m]]*0.45</f>
        <v>0.21972736366996204</v>
      </c>
    </row>
    <row r="1142" spans="1:6" x14ac:dyDescent="0.3">
      <c r="A1142" s="37">
        <v>12</v>
      </c>
      <c r="B1142" s="37">
        <v>41</v>
      </c>
      <c r="C1142" s="55">
        <v>18.559999999999999</v>
      </c>
      <c r="D1142" s="55">
        <v>16.36</v>
      </c>
      <c r="E1142" s="56">
        <f>(PI()*(Pinus[[#This Row],[d_cm]]^2))/40000</f>
        <v>2.7054893277890721E-2</v>
      </c>
      <c r="F1142" s="56">
        <f>Pinus[[#This Row],[gi_m²]]*Pinus[[#This Row],[h_m]]*0.45</f>
        <v>0.19917812431183149</v>
      </c>
    </row>
    <row r="1143" spans="1:6" x14ac:dyDescent="0.3">
      <c r="A1143" s="37">
        <v>12</v>
      </c>
      <c r="B1143" s="37">
        <v>42</v>
      </c>
      <c r="C1143" s="55">
        <v>18.68</v>
      </c>
      <c r="D1143" s="55">
        <v>16.39</v>
      </c>
      <c r="E1143" s="56">
        <f>(PI()*(Pinus[[#This Row],[d_cm]]^2))/40000</f>
        <v>2.7405872009149772E-2</v>
      </c>
      <c r="F1143" s="56">
        <f>Pinus[[#This Row],[gi_m²]]*Pinus[[#This Row],[h_m]]*0.45</f>
        <v>0.20213200900348416</v>
      </c>
    </row>
    <row r="1144" spans="1:6" x14ac:dyDescent="0.3">
      <c r="A1144" s="37">
        <v>12</v>
      </c>
      <c r="B1144" s="37">
        <v>43</v>
      </c>
      <c r="C1144" s="55">
        <v>20.28</v>
      </c>
      <c r="D1144" s="55">
        <v>16.79</v>
      </c>
      <c r="E1144" s="56">
        <f>(PI()*(Pinus[[#This Row],[d_cm]]^2))/40000</f>
        <v>3.2301730000504111E-2</v>
      </c>
      <c r="F1144" s="56">
        <f>Pinus[[#This Row],[gi_m²]]*Pinus[[#This Row],[h_m]]*0.45</f>
        <v>0.24405572101880879</v>
      </c>
    </row>
    <row r="1145" spans="1:6" x14ac:dyDescent="0.3">
      <c r="A1145" s="37">
        <v>12</v>
      </c>
      <c r="B1145" s="37">
        <v>44</v>
      </c>
      <c r="C1145" s="55">
        <v>20.39</v>
      </c>
      <c r="D1145" s="55">
        <v>16.82</v>
      </c>
      <c r="E1145" s="56">
        <f>(PI()*(Pinus[[#This Row],[d_cm]]^2))/40000</f>
        <v>3.2653093576863225E-2</v>
      </c>
      <c r="F1145" s="56">
        <f>Pinus[[#This Row],[gi_m²]]*Pinus[[#This Row],[h_m]]*0.45</f>
        <v>0.24715126528327777</v>
      </c>
    </row>
    <row r="1146" spans="1:6" x14ac:dyDescent="0.3">
      <c r="A1146" s="37">
        <v>12</v>
      </c>
      <c r="B1146" s="37">
        <v>45</v>
      </c>
      <c r="C1146" s="55">
        <v>21.16</v>
      </c>
      <c r="D1146" s="55">
        <v>17</v>
      </c>
      <c r="E1146" s="56">
        <f>(PI()*(Pinus[[#This Row],[d_cm]]^2))/40000</f>
        <v>3.5165857190928851E-2</v>
      </c>
      <c r="F1146" s="56">
        <f>Pinus[[#This Row],[gi_m²]]*Pinus[[#This Row],[h_m]]*0.45</f>
        <v>0.2690188075106057</v>
      </c>
    </row>
    <row r="1147" spans="1:6" x14ac:dyDescent="0.3">
      <c r="A1147" s="37">
        <v>12</v>
      </c>
      <c r="B1147" s="37">
        <v>46</v>
      </c>
      <c r="C1147" s="55">
        <v>17.010000000000002</v>
      </c>
      <c r="D1147" s="55">
        <v>15.94</v>
      </c>
      <c r="E1147" s="56">
        <f>(PI()*(Pinus[[#This Row],[d_cm]]^2))/40000</f>
        <v>2.272471831372341E-2</v>
      </c>
      <c r="F1147" s="56">
        <f>Pinus[[#This Row],[gi_m²]]*Pinus[[#This Row],[h_m]]*0.45</f>
        <v>0.16300440446433803</v>
      </c>
    </row>
    <row r="1148" spans="1:6" x14ac:dyDescent="0.3">
      <c r="A1148" s="37">
        <v>12</v>
      </c>
      <c r="B1148" s="37">
        <v>47</v>
      </c>
      <c r="C1148" s="55">
        <v>16.61</v>
      </c>
      <c r="D1148" s="55">
        <v>15.82</v>
      </c>
      <c r="E1148" s="56">
        <f>(PI()*(Pinus[[#This Row],[d_cm]]^2))/40000</f>
        <v>2.1668514863586511E-2</v>
      </c>
      <c r="F1148" s="56">
        <f>Pinus[[#This Row],[gi_m²]]*Pinus[[#This Row],[h_m]]*0.45</f>
        <v>0.15425815731387238</v>
      </c>
    </row>
    <row r="1149" spans="1:6" x14ac:dyDescent="0.3">
      <c r="A1149" s="37">
        <v>12</v>
      </c>
      <c r="B1149" s="37">
        <v>48</v>
      </c>
      <c r="C1149" s="55">
        <v>24.79</v>
      </c>
      <c r="D1149" s="55">
        <v>17.77</v>
      </c>
      <c r="E1149" s="56">
        <f>(PI()*(Pinus[[#This Row],[d_cm]]^2))/40000</f>
        <v>4.8266180746673777E-2</v>
      </c>
      <c r="F1149" s="56">
        <f>Pinus[[#This Row],[gi_m²]]*Pinus[[#This Row],[h_m]]*0.45</f>
        <v>0.38596051434077683</v>
      </c>
    </row>
    <row r="1150" spans="1:6" x14ac:dyDescent="0.3">
      <c r="A1150" s="37">
        <v>12</v>
      </c>
      <c r="B1150" s="37">
        <v>49</v>
      </c>
      <c r="C1150" s="55">
        <v>17.809999999999999</v>
      </c>
      <c r="D1150" s="55">
        <v>16.16</v>
      </c>
      <c r="E1150" s="56">
        <f>(PI()*(Pinus[[#This Row],[d_cm]]^2))/40000</f>
        <v>2.4912523437683329E-2</v>
      </c>
      <c r="F1150" s="56">
        <f>Pinus[[#This Row],[gi_m²]]*Pinus[[#This Row],[h_m]]*0.45</f>
        <v>0.18116387043883317</v>
      </c>
    </row>
    <row r="1151" spans="1:6" x14ac:dyDescent="0.3">
      <c r="A1151" s="37">
        <v>12</v>
      </c>
      <c r="B1151" s="37">
        <v>50</v>
      </c>
      <c r="C1151" s="55">
        <v>21.21</v>
      </c>
      <c r="D1151" s="55">
        <v>17.010000000000002</v>
      </c>
      <c r="E1151" s="56">
        <f>(PI()*(Pinus[[#This Row],[d_cm]]^2))/40000</f>
        <v>3.5332243791844603E-2</v>
      </c>
      <c r="F1151" s="56">
        <f>Pinus[[#This Row],[gi_m²]]*Pinus[[#This Row],[h_m]]*0.45</f>
        <v>0.27045066010467456</v>
      </c>
    </row>
    <row r="1152" spans="1:6" x14ac:dyDescent="0.3">
      <c r="A1152" s="37">
        <v>12</v>
      </c>
      <c r="B1152" s="37">
        <v>51</v>
      </c>
      <c r="C1152" s="55">
        <v>19.77</v>
      </c>
      <c r="D1152" s="55">
        <v>16.670000000000002</v>
      </c>
      <c r="E1152" s="56">
        <f>(PI()*(Pinus[[#This Row],[d_cm]]^2))/40000</f>
        <v>3.0697514981856647E-2</v>
      </c>
      <c r="F1152" s="56">
        <f>Pinus[[#This Row],[gi_m²]]*Pinus[[#This Row],[h_m]]*0.45</f>
        <v>0.23027740863639767</v>
      </c>
    </row>
    <row r="1153" spans="1:6" x14ac:dyDescent="0.3">
      <c r="A1153" s="37">
        <v>12</v>
      </c>
      <c r="B1153" s="37">
        <v>52</v>
      </c>
      <c r="C1153" s="55">
        <v>16.170000000000002</v>
      </c>
      <c r="D1153" s="55">
        <v>15.69</v>
      </c>
      <c r="E1153" s="56">
        <f>(PI()*(Pinus[[#This Row],[d_cm]]^2))/40000</f>
        <v>2.0535719384555114E-2</v>
      </c>
      <c r="F1153" s="56">
        <f>Pinus[[#This Row],[gi_m²]]*Pinus[[#This Row],[h_m]]*0.45</f>
        <v>0.14499244671465139</v>
      </c>
    </row>
    <row r="1154" spans="1:6" x14ac:dyDescent="0.3">
      <c r="A1154" s="37">
        <v>12</v>
      </c>
      <c r="B1154" s="37">
        <v>53</v>
      </c>
      <c r="C1154" s="55">
        <v>22.36</v>
      </c>
      <c r="D1154" s="55">
        <v>17.27</v>
      </c>
      <c r="E1154" s="56">
        <f>(PI()*(Pinus[[#This Row],[d_cm]]^2))/40000</f>
        <v>3.9267520559455683E-2</v>
      </c>
      <c r="F1154" s="56">
        <f>Pinus[[#This Row],[gi_m²]]*Pinus[[#This Row],[h_m]]*0.45</f>
        <v>0.30516753602780988</v>
      </c>
    </row>
    <row r="1155" spans="1:6" x14ac:dyDescent="0.3">
      <c r="A1155" s="37">
        <v>12</v>
      </c>
      <c r="B1155" s="37">
        <v>54</v>
      </c>
      <c r="C1155" s="55">
        <v>20.69</v>
      </c>
      <c r="D1155" s="55">
        <v>16.89</v>
      </c>
      <c r="E1155" s="56">
        <f>(PI()*(Pinus[[#This Row],[d_cm]]^2))/40000</f>
        <v>3.3621018273434243E-2</v>
      </c>
      <c r="F1155" s="56">
        <f>Pinus[[#This Row],[gi_m²]]*Pinus[[#This Row],[h_m]]*0.45</f>
        <v>0.25553654938723697</v>
      </c>
    </row>
    <row r="1156" spans="1:6" x14ac:dyDescent="0.3">
      <c r="A1156" s="37">
        <v>12</v>
      </c>
      <c r="B1156" s="37">
        <v>55</v>
      </c>
      <c r="C1156" s="55">
        <v>25.6</v>
      </c>
      <c r="D1156" s="55">
        <v>17.93</v>
      </c>
      <c r="E1156" s="56">
        <f>(PI()*(Pinus[[#This Row],[d_cm]]^2))/40000</f>
        <v>5.1471854036415174E-2</v>
      </c>
      <c r="F1156" s="56">
        <f>Pinus[[#This Row],[gi_m²]]*Pinus[[#This Row],[h_m]]*0.45</f>
        <v>0.41530065429281582</v>
      </c>
    </row>
    <row r="1157" spans="1:6" x14ac:dyDescent="0.3">
      <c r="A1157" s="37">
        <v>12</v>
      </c>
      <c r="B1157" s="37">
        <v>56</v>
      </c>
      <c r="C1157" s="55">
        <v>20.47</v>
      </c>
      <c r="D1157" s="55">
        <v>16.84</v>
      </c>
      <c r="E1157" s="56">
        <f>(PI()*(Pinus[[#This Row],[d_cm]]^2))/40000</f>
        <v>3.2909824528514577E-2</v>
      </c>
      <c r="F1157" s="56">
        <f>Pinus[[#This Row],[gi_m²]]*Pinus[[#This Row],[h_m]]*0.45</f>
        <v>0.24939065027708346</v>
      </c>
    </row>
    <row r="1158" spans="1:6" x14ac:dyDescent="0.3">
      <c r="A1158" s="37">
        <v>12</v>
      </c>
      <c r="B1158" s="37">
        <v>57</v>
      </c>
      <c r="C1158" s="55">
        <v>18.670000000000002</v>
      </c>
      <c r="D1158" s="55">
        <v>16.39</v>
      </c>
      <c r="E1158" s="56">
        <f>(PI()*(Pinus[[#This Row],[d_cm]]^2))/40000</f>
        <v>2.7376537387746886E-2</v>
      </c>
      <c r="F1158" s="56">
        <f>Pinus[[#This Row],[gi_m²]]*Pinus[[#This Row],[h_m]]*0.45</f>
        <v>0.20191565150332716</v>
      </c>
    </row>
    <row r="1159" spans="1:6" x14ac:dyDescent="0.3">
      <c r="A1159" s="37">
        <v>12</v>
      </c>
      <c r="B1159" s="37">
        <v>58</v>
      </c>
      <c r="C1159" s="55">
        <v>21.11</v>
      </c>
      <c r="D1159" s="55">
        <v>16.989999999999998</v>
      </c>
      <c r="E1159" s="56">
        <f>(PI()*(Pinus[[#This Row],[d_cm]]^2))/40000</f>
        <v>3.4999863289094796E-2</v>
      </c>
      <c r="F1159" s="56">
        <f>Pinus[[#This Row],[gi_m²]]*Pinus[[#This Row],[h_m]]*0.45</f>
        <v>0.26759145477677426</v>
      </c>
    </row>
    <row r="1160" spans="1:6" x14ac:dyDescent="0.3">
      <c r="A1160" s="37">
        <v>12</v>
      </c>
      <c r="B1160" s="37">
        <v>59</v>
      </c>
      <c r="C1160" s="55">
        <v>15.26</v>
      </c>
      <c r="D1160" s="55">
        <v>15.4</v>
      </c>
      <c r="E1160" s="56">
        <f>(PI()*(Pinus[[#This Row],[d_cm]]^2))/40000</f>
        <v>1.8289378535477161E-2</v>
      </c>
      <c r="F1160" s="56">
        <f>Pinus[[#This Row],[gi_m²]]*Pinus[[#This Row],[h_m]]*0.45</f>
        <v>0.12674539325085674</v>
      </c>
    </row>
    <row r="1161" spans="1:6" x14ac:dyDescent="0.3">
      <c r="A1161" s="37">
        <v>12</v>
      </c>
      <c r="B1161" s="37">
        <v>60</v>
      </c>
      <c r="C1161" s="55">
        <v>16.66</v>
      </c>
      <c r="D1161" s="55">
        <v>15.83</v>
      </c>
      <c r="E1161" s="56">
        <f>(PI()*(Pinus[[#This Row],[d_cm]]^2))/40000</f>
        <v>2.1799165848067681E-2</v>
      </c>
      <c r="F1161" s="56">
        <f>Pinus[[#This Row],[gi_m²]]*Pinus[[#This Row],[h_m]]*0.45</f>
        <v>0.15528635791871012</v>
      </c>
    </row>
    <row r="1162" spans="1:6" x14ac:dyDescent="0.3">
      <c r="A1162" s="37">
        <v>12</v>
      </c>
      <c r="B1162" s="37">
        <v>61</v>
      </c>
      <c r="C1162" s="55">
        <v>22.04</v>
      </c>
      <c r="D1162" s="55">
        <v>17.2</v>
      </c>
      <c r="E1162" s="56">
        <f>(PI()*(Pinus[[#This Row],[d_cm]]^2))/40000</f>
        <v>3.815162684890059E-2</v>
      </c>
      <c r="F1162" s="56">
        <f>Pinus[[#This Row],[gi_m²]]*Pinus[[#This Row],[h_m]]*0.45</f>
        <v>0.29529359181049053</v>
      </c>
    </row>
    <row r="1163" spans="1:6" x14ac:dyDescent="0.3">
      <c r="A1163" s="37">
        <v>12</v>
      </c>
      <c r="B1163" s="37">
        <v>62</v>
      </c>
      <c r="C1163" s="55">
        <v>18.670000000000002</v>
      </c>
      <c r="D1163" s="55">
        <v>16.39</v>
      </c>
      <c r="E1163" s="56">
        <f>(PI()*(Pinus[[#This Row],[d_cm]]^2))/40000</f>
        <v>2.7376537387746886E-2</v>
      </c>
      <c r="F1163" s="56">
        <f>Pinus[[#This Row],[gi_m²]]*Pinus[[#This Row],[h_m]]*0.45</f>
        <v>0.20191565150332716</v>
      </c>
    </row>
    <row r="1164" spans="1:6" x14ac:dyDescent="0.3">
      <c r="A1164" s="37">
        <v>12</v>
      </c>
      <c r="B1164" s="37">
        <v>63</v>
      </c>
      <c r="C1164" s="55">
        <v>19.739999999999998</v>
      </c>
      <c r="D1164" s="55">
        <v>16.66</v>
      </c>
      <c r="E1164" s="56">
        <f>(PI()*(Pinus[[#This Row],[d_cm]]^2))/40000</f>
        <v>3.060442173754915E-2</v>
      </c>
      <c r="F1164" s="56">
        <f>Pinus[[#This Row],[gi_m²]]*Pinus[[#This Row],[h_m]]*0.45</f>
        <v>0.22944134976640596</v>
      </c>
    </row>
    <row r="1165" spans="1:6" x14ac:dyDescent="0.3">
      <c r="A1165" s="37">
        <v>12</v>
      </c>
      <c r="B1165" s="37">
        <v>64</v>
      </c>
      <c r="C1165" s="55">
        <v>19.54</v>
      </c>
      <c r="D1165" s="55">
        <v>16.61</v>
      </c>
      <c r="E1165" s="56">
        <f>(PI()*(Pinus[[#This Row],[d_cm]]^2))/40000</f>
        <v>2.9987412940384109E-2</v>
      </c>
      <c r="F1165" s="56">
        <f>Pinus[[#This Row],[gi_m²]]*Pinus[[#This Row],[h_m]]*0.45</f>
        <v>0.22414091802290101</v>
      </c>
    </row>
    <row r="1166" spans="1:6" x14ac:dyDescent="0.3">
      <c r="A1166" s="37">
        <v>12</v>
      </c>
      <c r="B1166" s="37">
        <v>65</v>
      </c>
      <c r="C1166" s="55">
        <v>17.399999999999999</v>
      </c>
      <c r="D1166" s="55">
        <v>16.04</v>
      </c>
      <c r="E1166" s="56">
        <f>(PI()*(Pinus[[#This Row],[d_cm]]^2))/40000</f>
        <v>2.3778714795021139E-2</v>
      </c>
      <c r="F1166" s="56">
        <f>Pinus[[#This Row],[gi_m²]]*Pinus[[#This Row],[h_m]]*0.45</f>
        <v>0.17163476339046257</v>
      </c>
    </row>
    <row r="1167" spans="1:6" x14ac:dyDescent="0.3">
      <c r="A1167" s="37">
        <v>12</v>
      </c>
      <c r="B1167" s="37">
        <v>66</v>
      </c>
      <c r="C1167" s="55">
        <v>11.93</v>
      </c>
      <c r="D1167" s="55">
        <v>14.2</v>
      </c>
      <c r="E1167" s="56">
        <f>(PI()*(Pinus[[#This Row],[d_cm]]^2))/40000</f>
        <v>1.1178171506572548E-2</v>
      </c>
      <c r="F1167" s="56">
        <f>Pinus[[#This Row],[gi_m²]]*Pinus[[#This Row],[h_m]]*0.45</f>
        <v>7.1428515926998587E-2</v>
      </c>
    </row>
    <row r="1168" spans="1:6" x14ac:dyDescent="0.3">
      <c r="A1168" s="37">
        <v>12</v>
      </c>
      <c r="B1168" s="37">
        <v>67</v>
      </c>
      <c r="C1168" s="55">
        <v>21.4</v>
      </c>
      <c r="D1168" s="55">
        <v>17.05</v>
      </c>
      <c r="E1168" s="56">
        <f>(PI()*(Pinus[[#This Row],[d_cm]]^2))/40000</f>
        <v>3.5968094290949534E-2</v>
      </c>
      <c r="F1168" s="56">
        <f>Pinus[[#This Row],[gi_m²]]*Pinus[[#This Row],[h_m]]*0.45</f>
        <v>0.27596520344731029</v>
      </c>
    </row>
    <row r="1169" spans="1:6" x14ac:dyDescent="0.3">
      <c r="A1169" s="37">
        <v>12</v>
      </c>
      <c r="B1169" s="37">
        <v>68</v>
      </c>
      <c r="C1169" s="55">
        <v>23.05</v>
      </c>
      <c r="D1169" s="55">
        <v>17.420000000000002</v>
      </c>
      <c r="E1169" s="56">
        <f>(PI()*(Pinus[[#This Row],[d_cm]]^2))/40000</f>
        <v>4.1728400770847274E-2</v>
      </c>
      <c r="F1169" s="56">
        <f>Pinus[[#This Row],[gi_m²]]*Pinus[[#This Row],[h_m]]*0.45</f>
        <v>0.3271089336426718</v>
      </c>
    </row>
    <row r="1170" spans="1:6" x14ac:dyDescent="0.3">
      <c r="A1170" s="37">
        <v>12</v>
      </c>
      <c r="B1170" s="37">
        <v>69</v>
      </c>
      <c r="C1170" s="55">
        <v>14.85</v>
      </c>
      <c r="D1170" s="55">
        <v>15.27</v>
      </c>
      <c r="E1170" s="56">
        <f>(PI()*(Pinus[[#This Row],[d_cm]]^2))/40000</f>
        <v>1.7319796648781378E-2</v>
      </c>
      <c r="F1170" s="56">
        <f>Pinus[[#This Row],[gi_m²]]*Pinus[[#This Row],[h_m]]*0.45</f>
        <v>0.11901298267210124</v>
      </c>
    </row>
    <row r="1171" spans="1:6" x14ac:dyDescent="0.3">
      <c r="A1171" s="37">
        <v>12</v>
      </c>
      <c r="B1171" s="37">
        <v>70</v>
      </c>
      <c r="C1171" s="55">
        <v>25.93</v>
      </c>
      <c r="D1171" s="55">
        <v>17.989999999999998</v>
      </c>
      <c r="E1171" s="56">
        <f>(PI()*(Pinus[[#This Row],[d_cm]]^2))/40000</f>
        <v>5.2807415759290904E-2</v>
      </c>
      <c r="F1171" s="56">
        <f>Pinus[[#This Row],[gi_m²]]*Pinus[[#This Row],[h_m]]*0.45</f>
        <v>0.42750243427933948</v>
      </c>
    </row>
    <row r="1172" spans="1:6" x14ac:dyDescent="0.3">
      <c r="A1172" s="37">
        <v>12</v>
      </c>
      <c r="B1172" s="37">
        <v>71</v>
      </c>
      <c r="C1172" s="55">
        <v>21.54</v>
      </c>
      <c r="D1172" s="55">
        <v>17.09</v>
      </c>
      <c r="E1172" s="56">
        <f>(PI()*(Pinus[[#This Row],[d_cm]]^2))/40000</f>
        <v>3.6440244250857547E-2</v>
      </c>
      <c r="F1172" s="56">
        <f>Pinus[[#This Row],[gi_m²]]*Pinus[[#This Row],[h_m]]*0.45</f>
        <v>0.28024369841121999</v>
      </c>
    </row>
    <row r="1173" spans="1:6" x14ac:dyDescent="0.3">
      <c r="A1173" s="37">
        <v>12</v>
      </c>
      <c r="B1173" s="37">
        <v>72</v>
      </c>
      <c r="C1173" s="55">
        <v>25.37</v>
      </c>
      <c r="D1173" s="55">
        <v>17.88</v>
      </c>
      <c r="E1173" s="56">
        <f>(PI()*(Pinus[[#This Row],[d_cm]]^2))/40000</f>
        <v>5.0551123915482714E-2</v>
      </c>
      <c r="F1173" s="56">
        <f>Pinus[[#This Row],[gi_m²]]*Pinus[[#This Row],[h_m]]*0.45</f>
        <v>0.40673434302397393</v>
      </c>
    </row>
    <row r="1174" spans="1:6" x14ac:dyDescent="0.3">
      <c r="A1174" s="37">
        <v>12</v>
      </c>
      <c r="B1174" s="37">
        <v>73</v>
      </c>
      <c r="C1174" s="55">
        <v>16.170000000000002</v>
      </c>
      <c r="D1174" s="55">
        <v>15.69</v>
      </c>
      <c r="E1174" s="56">
        <f>(PI()*(Pinus[[#This Row],[d_cm]]^2))/40000</f>
        <v>2.0535719384555114E-2</v>
      </c>
      <c r="F1174" s="56">
        <f>Pinus[[#This Row],[gi_m²]]*Pinus[[#This Row],[h_m]]*0.45</f>
        <v>0.14499244671465139</v>
      </c>
    </row>
    <row r="1175" spans="1:6" x14ac:dyDescent="0.3">
      <c r="A1175" s="37">
        <v>12</v>
      </c>
      <c r="B1175" s="37">
        <v>74</v>
      </c>
      <c r="C1175" s="55">
        <v>20.67</v>
      </c>
      <c r="D1175" s="55">
        <v>16.88</v>
      </c>
      <c r="E1175" s="56">
        <f>(PI()*(Pinus[[#This Row],[d_cm]]^2))/40000</f>
        <v>3.3556050137358004E-2</v>
      </c>
      <c r="F1175" s="56">
        <f>Pinus[[#This Row],[gi_m²]]*Pinus[[#This Row],[h_m]]*0.45</f>
        <v>0.2548917568433714</v>
      </c>
    </row>
    <row r="1176" spans="1:6" x14ac:dyDescent="0.3">
      <c r="A1176" s="37">
        <v>12</v>
      </c>
      <c r="B1176" s="37">
        <v>75</v>
      </c>
      <c r="C1176" s="55">
        <v>19.600000000000001</v>
      </c>
      <c r="D1176" s="55">
        <v>16.63</v>
      </c>
      <c r="E1176" s="56">
        <f>(PI()*(Pinus[[#This Row],[d_cm]]^2))/40000</f>
        <v>3.0171855845076378E-2</v>
      </c>
      <c r="F1176" s="56">
        <f>Pinus[[#This Row],[gi_m²]]*Pinus[[#This Row],[h_m]]*0.45</f>
        <v>0.22579108321662908</v>
      </c>
    </row>
    <row r="1177" spans="1:6" x14ac:dyDescent="0.3">
      <c r="A1177" s="37">
        <v>12</v>
      </c>
      <c r="B1177" s="37">
        <v>76</v>
      </c>
      <c r="C1177" s="55">
        <v>23.07</v>
      </c>
      <c r="D1177" s="55">
        <v>17.420000000000002</v>
      </c>
      <c r="E1177" s="56">
        <f>(PI()*(Pinus[[#This Row],[d_cm]]^2))/40000</f>
        <v>4.1800845897439064E-2</v>
      </c>
      <c r="F1177" s="56">
        <f>Pinus[[#This Row],[gi_m²]]*Pinus[[#This Row],[h_m]]*0.45</f>
        <v>0.32767683099002481</v>
      </c>
    </row>
    <row r="1178" spans="1:6" x14ac:dyDescent="0.3">
      <c r="A1178" s="37">
        <v>12</v>
      </c>
      <c r="B1178" s="37">
        <v>77</v>
      </c>
      <c r="C1178" s="55">
        <v>17.7</v>
      </c>
      <c r="D1178" s="55">
        <v>16.13</v>
      </c>
      <c r="E1178" s="56">
        <f>(PI()*(Pinus[[#This Row],[d_cm]]^2))/40000</f>
        <v>2.4605739061078654E-2</v>
      </c>
      <c r="F1178" s="56">
        <f>Pinus[[#This Row],[gi_m²]]*Pinus[[#This Row],[h_m]]*0.45</f>
        <v>0.1786007569748394</v>
      </c>
    </row>
    <row r="1179" spans="1:6" x14ac:dyDescent="0.3">
      <c r="A1179" s="37">
        <v>12</v>
      </c>
      <c r="B1179" s="37">
        <v>78</v>
      </c>
      <c r="C1179" s="55">
        <v>19.96</v>
      </c>
      <c r="D1179" s="55">
        <v>16.71</v>
      </c>
      <c r="E1179" s="56">
        <f>(PI()*(Pinus[[#This Row],[d_cm]]^2))/40000</f>
        <v>3.1290388493460483E-2</v>
      </c>
      <c r="F1179" s="56">
        <f>Pinus[[#This Row],[gi_m²]]*Pinus[[#This Row],[h_m]]*0.45</f>
        <v>0.23528807627657611</v>
      </c>
    </row>
    <row r="1180" spans="1:6" x14ac:dyDescent="0.3">
      <c r="A1180" s="37">
        <v>12</v>
      </c>
      <c r="B1180" s="37">
        <v>79</v>
      </c>
      <c r="C1180" s="55">
        <v>12.89</v>
      </c>
      <c r="D1180" s="55">
        <v>14.58</v>
      </c>
      <c r="E1180" s="56">
        <f>(PI()*(Pinus[[#This Row],[d_cm]]^2))/40000</f>
        <v>1.3049555418462918E-2</v>
      </c>
      <c r="F1180" s="56">
        <f>Pinus[[#This Row],[gi_m²]]*Pinus[[#This Row],[h_m]]*0.45</f>
        <v>8.5618133100535204E-2</v>
      </c>
    </row>
    <row r="1181" spans="1:6" x14ac:dyDescent="0.3">
      <c r="A1181" s="37">
        <v>12</v>
      </c>
      <c r="B1181" s="37">
        <v>80</v>
      </c>
      <c r="C1181" s="55">
        <v>16.89</v>
      </c>
      <c r="D1181" s="55">
        <v>15.9</v>
      </c>
      <c r="E1181" s="56">
        <f>(PI()*(Pinus[[#This Row],[d_cm]]^2))/40000</f>
        <v>2.2405218340853322E-2</v>
      </c>
      <c r="F1181" s="56">
        <f>Pinus[[#This Row],[gi_m²]]*Pinus[[#This Row],[h_m]]*0.45</f>
        <v>0.16030933722880553</v>
      </c>
    </row>
    <row r="1182" spans="1:6" x14ac:dyDescent="0.3">
      <c r="A1182" s="37">
        <v>12</v>
      </c>
      <c r="B1182" s="37">
        <v>81</v>
      </c>
      <c r="C1182" s="55">
        <v>20.5</v>
      </c>
      <c r="D1182" s="55">
        <v>16.84</v>
      </c>
      <c r="E1182" s="56">
        <f>(PI()*(Pinus[[#This Row],[d_cm]]^2))/40000</f>
        <v>3.3006357816777764E-2</v>
      </c>
      <c r="F1182" s="56">
        <f>Pinus[[#This Row],[gi_m²]]*Pinus[[#This Row],[h_m]]*0.45</f>
        <v>0.25012217953554189</v>
      </c>
    </row>
    <row r="1183" spans="1:6" x14ac:dyDescent="0.3">
      <c r="A1183" s="37">
        <v>12</v>
      </c>
      <c r="B1183" s="37">
        <v>82</v>
      </c>
      <c r="C1183" s="55">
        <v>17.170000000000002</v>
      </c>
      <c r="D1183" s="55">
        <v>15.98</v>
      </c>
      <c r="E1183" s="56">
        <f>(PI()*(Pinus[[#This Row],[d_cm]]^2))/40000</f>
        <v>2.3154236861322203E-2</v>
      </c>
      <c r="F1183" s="56">
        <f>Pinus[[#This Row],[gi_m²]]*Pinus[[#This Row],[h_m]]*0.45</f>
        <v>0.16650211726976796</v>
      </c>
    </row>
    <row r="1184" spans="1:6" x14ac:dyDescent="0.3">
      <c r="A1184" s="37">
        <v>12</v>
      </c>
      <c r="B1184" s="37">
        <v>83</v>
      </c>
      <c r="C1184" s="55">
        <v>19.829999999999998</v>
      </c>
      <c r="D1184" s="55">
        <v>16.68</v>
      </c>
      <c r="E1184" s="56">
        <f>(PI()*(Pinus[[#This Row],[d_cm]]^2))/40000</f>
        <v>3.0884125585479882E-2</v>
      </c>
      <c r="F1184" s="56">
        <f>Pinus[[#This Row],[gi_m²]]*Pinus[[#This Row],[h_m]]*0.45</f>
        <v>0.23181624664461198</v>
      </c>
    </row>
    <row r="1185" spans="1:6" x14ac:dyDescent="0.3">
      <c r="A1185" s="37">
        <v>12</v>
      </c>
      <c r="B1185" s="37">
        <v>84</v>
      </c>
      <c r="C1185" s="55">
        <v>18.13</v>
      </c>
      <c r="D1185" s="55">
        <v>16.239999999999998</v>
      </c>
      <c r="E1185" s="56">
        <f>(PI()*(Pinus[[#This Row],[d_cm]]^2))/40000</f>
        <v>2.5815794157443468E-2</v>
      </c>
      <c r="F1185" s="56">
        <f>Pinus[[#This Row],[gi_m²]]*Pinus[[#This Row],[h_m]]*0.45</f>
        <v>0.18866182370259685</v>
      </c>
    </row>
    <row r="1186" spans="1:6" x14ac:dyDescent="0.3">
      <c r="A1186" s="37">
        <v>12</v>
      </c>
      <c r="B1186" s="37">
        <v>85</v>
      </c>
      <c r="C1186" s="55">
        <v>22.43</v>
      </c>
      <c r="D1186" s="55">
        <v>17.28</v>
      </c>
      <c r="E1186" s="56">
        <f>(PI()*(Pinus[[#This Row],[d_cm]]^2))/40000</f>
        <v>3.9513766445625688E-2</v>
      </c>
      <c r="F1186" s="56">
        <f>Pinus[[#This Row],[gi_m²]]*Pinus[[#This Row],[h_m]]*0.45</f>
        <v>0.30725904788118541</v>
      </c>
    </row>
    <row r="1187" spans="1:6" x14ac:dyDescent="0.3">
      <c r="A1187" s="37">
        <v>12</v>
      </c>
      <c r="B1187" s="37">
        <v>86</v>
      </c>
      <c r="C1187" s="55">
        <v>24.67</v>
      </c>
      <c r="D1187" s="55">
        <v>17.75</v>
      </c>
      <c r="E1187" s="56">
        <f>(PI()*(Pinus[[#This Row],[d_cm]]^2))/40000</f>
        <v>4.7800031228734136E-2</v>
      </c>
      <c r="F1187" s="56">
        <f>Pinus[[#This Row],[gi_m²]]*Pinus[[#This Row],[h_m]]*0.45</f>
        <v>0.38180274943951392</v>
      </c>
    </row>
    <row r="1188" spans="1:6" x14ac:dyDescent="0.3">
      <c r="A1188" s="37">
        <v>12</v>
      </c>
      <c r="B1188" s="37">
        <v>87</v>
      </c>
      <c r="C1188" s="55">
        <v>16.71</v>
      </c>
      <c r="D1188" s="55">
        <v>15.85</v>
      </c>
      <c r="E1188" s="56">
        <f>(PI()*(Pinus[[#This Row],[d_cm]]^2))/40000</f>
        <v>2.1930209531630548E-2</v>
      </c>
      <c r="F1188" s="56">
        <f>Pinus[[#This Row],[gi_m²]]*Pinus[[#This Row],[h_m]]*0.45</f>
        <v>0.15641721948435489</v>
      </c>
    </row>
    <row r="1189" spans="1:6" x14ac:dyDescent="0.3">
      <c r="A1189" s="37">
        <v>12</v>
      </c>
      <c r="B1189" s="37">
        <v>88</v>
      </c>
      <c r="C1189" s="55">
        <v>18.77</v>
      </c>
      <c r="D1189" s="55">
        <v>16.41</v>
      </c>
      <c r="E1189" s="56">
        <f>(PI()*(Pinus[[#This Row],[d_cm]]^2))/40000</f>
        <v>2.7670590460122883E-2</v>
      </c>
      <c r="F1189" s="56">
        <f>Pinus[[#This Row],[gi_m²]]*Pinus[[#This Row],[h_m]]*0.45</f>
        <v>0.20433347525277742</v>
      </c>
    </row>
    <row r="1190" spans="1:6" x14ac:dyDescent="0.3">
      <c r="A1190" s="37">
        <v>12</v>
      </c>
      <c r="B1190" s="37">
        <v>89</v>
      </c>
      <c r="C1190" s="55">
        <v>25.76</v>
      </c>
      <c r="D1190" s="55">
        <v>17.96</v>
      </c>
      <c r="E1190" s="56">
        <f>(PI()*(Pinus[[#This Row],[d_cm]]^2))/40000</f>
        <v>5.2117262831168659E-2</v>
      </c>
      <c r="F1190" s="56">
        <f>Pinus[[#This Row],[gi_m²]]*Pinus[[#This Row],[h_m]]*0.45</f>
        <v>0.4212117182015051</v>
      </c>
    </row>
    <row r="1191" spans="1:6" x14ac:dyDescent="0.3">
      <c r="A1191" s="37">
        <v>12</v>
      </c>
      <c r="B1191" s="37">
        <v>90</v>
      </c>
      <c r="C1191" s="55">
        <v>11.2</v>
      </c>
      <c r="D1191" s="55">
        <v>13.9</v>
      </c>
      <c r="E1191" s="56">
        <f>(PI()*(Pinus[[#This Row],[d_cm]]^2))/40000</f>
        <v>9.8520345616575893E-3</v>
      </c>
      <c r="F1191" s="56">
        <f>Pinus[[#This Row],[gi_m²]]*Pinus[[#This Row],[h_m]]*0.45</f>
        <v>6.1624476183168221E-2</v>
      </c>
    </row>
    <row r="1192" spans="1:6" x14ac:dyDescent="0.3">
      <c r="A1192" s="37">
        <v>12</v>
      </c>
      <c r="B1192" s="37">
        <v>91</v>
      </c>
      <c r="C1192" s="55">
        <v>18.72</v>
      </c>
      <c r="D1192" s="55">
        <v>16.399999999999999</v>
      </c>
      <c r="E1192" s="56">
        <f>(PI()*(Pinus[[#This Row],[d_cm]]^2))/40000</f>
        <v>2.7523367574394029E-2</v>
      </c>
      <c r="F1192" s="56">
        <f>Pinus[[#This Row],[gi_m²]]*Pinus[[#This Row],[h_m]]*0.45</f>
        <v>0.20312245269902793</v>
      </c>
    </row>
    <row r="1193" spans="1:6" x14ac:dyDescent="0.3">
      <c r="A1193" s="37">
        <v>12</v>
      </c>
      <c r="B1193" s="37">
        <v>92</v>
      </c>
      <c r="C1193" s="55">
        <v>28.26</v>
      </c>
      <c r="D1193" s="55">
        <v>18.41</v>
      </c>
      <c r="E1193" s="56">
        <f>(PI()*(Pinus[[#This Row],[d_cm]]^2))/40000</f>
        <v>6.2724065027851203E-2</v>
      </c>
      <c r="F1193" s="56">
        <f>Pinus[[#This Row],[gi_m²]]*Pinus[[#This Row],[h_m]]*0.45</f>
        <v>0.51963751672323333</v>
      </c>
    </row>
    <row r="1194" spans="1:6" x14ac:dyDescent="0.3">
      <c r="A1194" s="37">
        <v>12</v>
      </c>
      <c r="B1194" s="37">
        <v>93</v>
      </c>
      <c r="C1194" s="55">
        <v>28.77</v>
      </c>
      <c r="D1194" s="55">
        <v>18.5</v>
      </c>
      <c r="E1194" s="56">
        <f>(PI()*(Pinus[[#This Row],[d_cm]]^2))/40000</f>
        <v>6.500841914803758E-2</v>
      </c>
      <c r="F1194" s="56">
        <f>Pinus[[#This Row],[gi_m²]]*Pinus[[#This Row],[h_m]]*0.45</f>
        <v>0.5411950894074129</v>
      </c>
    </row>
    <row r="1195" spans="1:6" x14ac:dyDescent="0.3">
      <c r="A1195" s="37">
        <v>12</v>
      </c>
      <c r="B1195" s="37">
        <v>94</v>
      </c>
      <c r="C1195" s="55">
        <v>20.63</v>
      </c>
      <c r="D1195" s="55">
        <v>16.87</v>
      </c>
      <c r="E1195" s="56">
        <f>(PI()*(Pinus[[#This Row],[d_cm]]^2))/40000</f>
        <v>3.3426302360764742E-2</v>
      </c>
      <c r="F1195" s="56">
        <f>Pinus[[#This Row],[gi_m²]]*Pinus[[#This Row],[h_m]]*0.45</f>
        <v>0.25375577437174557</v>
      </c>
    </row>
    <row r="1196" spans="1:6" x14ac:dyDescent="0.3">
      <c r="A1196" s="37">
        <v>12</v>
      </c>
      <c r="B1196" s="37">
        <v>95</v>
      </c>
      <c r="C1196" s="55">
        <v>16.55</v>
      </c>
      <c r="D1196" s="55">
        <v>15.8</v>
      </c>
      <c r="E1196" s="56">
        <f>(PI()*(Pinus[[#This Row],[d_cm]]^2))/40000</f>
        <v>2.151225204499696E-2</v>
      </c>
      <c r="F1196" s="56">
        <f>Pinus[[#This Row],[gi_m²]]*Pinus[[#This Row],[h_m]]*0.45</f>
        <v>0.1529521120399284</v>
      </c>
    </row>
    <row r="1197" spans="1:6" x14ac:dyDescent="0.3">
      <c r="A1197" s="37">
        <v>12</v>
      </c>
      <c r="B1197" s="37">
        <v>96</v>
      </c>
      <c r="C1197" s="55">
        <v>20.66</v>
      </c>
      <c r="D1197" s="55">
        <v>16.88</v>
      </c>
      <c r="E1197" s="56">
        <f>(PI()*(Pinus[[#This Row],[d_cm]]^2))/40000</f>
        <v>3.352358963126479E-2</v>
      </c>
      <c r="F1197" s="56">
        <f>Pinus[[#This Row],[gi_m²]]*Pinus[[#This Row],[h_m]]*0.45</f>
        <v>0.25464518683908732</v>
      </c>
    </row>
    <row r="1198" spans="1:6" x14ac:dyDescent="0.3">
      <c r="A1198" s="37">
        <v>12</v>
      </c>
      <c r="B1198" s="37">
        <v>97</v>
      </c>
      <c r="C1198" s="55">
        <v>17.39</v>
      </c>
      <c r="D1198" s="55">
        <v>16.04</v>
      </c>
      <c r="E1198" s="56">
        <f>(PI()*(Pinus[[#This Row],[d_cm]]^2))/40000</f>
        <v>2.3751390792916546E-2</v>
      </c>
      <c r="F1198" s="56">
        <f>Pinus[[#This Row],[gi_m²]]*Pinus[[#This Row],[h_m]]*0.45</f>
        <v>0.17143753874327161</v>
      </c>
    </row>
    <row r="1199" spans="1:6" x14ac:dyDescent="0.3">
      <c r="A1199" s="37">
        <v>12</v>
      </c>
      <c r="B1199" s="37">
        <v>98</v>
      </c>
      <c r="C1199" s="55">
        <v>25.81</v>
      </c>
      <c r="D1199" s="55">
        <v>17.97</v>
      </c>
      <c r="E1199" s="56">
        <f>(PI()*(Pinus[[#This Row],[d_cm]]^2))/40000</f>
        <v>5.2319777747600688E-2</v>
      </c>
      <c r="F1199" s="56">
        <f>Pinus[[#This Row],[gi_m²]]*Pinus[[#This Row],[h_m]]*0.45</f>
        <v>0.42308388275597297</v>
      </c>
    </row>
    <row r="1200" spans="1:6" x14ac:dyDescent="0.3">
      <c r="A1200" s="37">
        <v>12</v>
      </c>
      <c r="B1200" s="37">
        <v>99</v>
      </c>
      <c r="C1200" s="55">
        <v>16.77</v>
      </c>
      <c r="D1200" s="55">
        <v>15.87</v>
      </c>
      <c r="E1200" s="56">
        <f>(PI()*(Pinus[[#This Row],[d_cm]]^2))/40000</f>
        <v>2.208798031469382E-2</v>
      </c>
      <c r="F1200" s="56">
        <f>Pinus[[#This Row],[gi_m²]]*Pinus[[#This Row],[h_m]]*0.45</f>
        <v>0.1577413114173859</v>
      </c>
    </row>
    <row r="1201" spans="1:6" x14ac:dyDescent="0.3">
      <c r="A1201" s="37">
        <v>12</v>
      </c>
      <c r="B1201" s="37">
        <v>100</v>
      </c>
      <c r="C1201" s="55">
        <v>21.49</v>
      </c>
      <c r="D1201" s="55">
        <v>17.07</v>
      </c>
      <c r="E1201" s="56">
        <f>(PI()*(Pinus[[#This Row],[d_cm]]^2))/40000</f>
        <v>3.6271265836002584E-2</v>
      </c>
      <c r="F1201" s="56">
        <f>Pinus[[#This Row],[gi_m²]]*Pinus[[#This Row],[h_m]]*0.45</f>
        <v>0.27861772851925387</v>
      </c>
    </row>
    <row r="1202" spans="1:6" x14ac:dyDescent="0.3">
      <c r="A1202" s="37">
        <v>13</v>
      </c>
      <c r="B1202" s="37">
        <v>1</v>
      </c>
      <c r="C1202" s="55">
        <v>22.48</v>
      </c>
      <c r="D1202" s="55">
        <v>15.77</v>
      </c>
      <c r="E1202" s="56">
        <f>(PI()*(Pinus[[#This Row],[d_cm]]^2))/40000</f>
        <v>3.9690127603216586E-2</v>
      </c>
      <c r="F1202" s="56">
        <f>Pinus[[#This Row],[gi_m²]]*Pinus[[#This Row],[h_m]]*0.45</f>
        <v>0.28166099053622651</v>
      </c>
    </row>
    <row r="1203" spans="1:6" x14ac:dyDescent="0.3">
      <c r="A1203" s="37">
        <v>13</v>
      </c>
      <c r="B1203" s="37">
        <v>2</v>
      </c>
      <c r="C1203" s="55">
        <v>16.97</v>
      </c>
      <c r="D1203" s="55">
        <v>14.52</v>
      </c>
      <c r="E1203" s="56">
        <f>(PI()*(Pinus[[#This Row],[d_cm]]^2))/40000</f>
        <v>2.261796699535442E-2</v>
      </c>
      <c r="F1203" s="56">
        <f>Pinus[[#This Row],[gi_m²]]*Pinus[[#This Row],[h_m]]*0.45</f>
        <v>0.14778579634764577</v>
      </c>
    </row>
    <row r="1204" spans="1:6" x14ac:dyDescent="0.3">
      <c r="A1204" s="37">
        <v>13</v>
      </c>
      <c r="B1204" s="37">
        <v>3</v>
      </c>
      <c r="C1204" s="55">
        <v>23.41</v>
      </c>
      <c r="D1204" s="55">
        <v>15.95</v>
      </c>
      <c r="E1204" s="56">
        <f>(PI()*(Pinus[[#This Row],[d_cm]]^2))/40000</f>
        <v>4.3042026323019317E-2</v>
      </c>
      <c r="F1204" s="56">
        <f>Pinus[[#This Row],[gi_m²]]*Pinus[[#This Row],[h_m]]*0.45</f>
        <v>0.30893414393347118</v>
      </c>
    </row>
    <row r="1205" spans="1:6" x14ac:dyDescent="0.3">
      <c r="A1205" s="37">
        <v>13</v>
      </c>
      <c r="B1205" s="37">
        <v>4</v>
      </c>
      <c r="C1205" s="55">
        <v>17.010000000000002</v>
      </c>
      <c r="D1205" s="55">
        <v>14.53</v>
      </c>
      <c r="E1205" s="56">
        <f>(PI()*(Pinus[[#This Row],[d_cm]]^2))/40000</f>
        <v>2.272471831372341E-2</v>
      </c>
      <c r="F1205" s="56">
        <f>Pinus[[#This Row],[gi_m²]]*Pinus[[#This Row],[h_m]]*0.45</f>
        <v>0.14858557069428049</v>
      </c>
    </row>
    <row r="1206" spans="1:6" x14ac:dyDescent="0.3">
      <c r="A1206" s="37">
        <v>13</v>
      </c>
      <c r="B1206" s="37">
        <v>5</v>
      </c>
      <c r="C1206" s="55">
        <v>22.52</v>
      </c>
      <c r="D1206" s="55">
        <v>15.78</v>
      </c>
      <c r="E1206" s="56">
        <f>(PI()*(Pinus[[#This Row],[d_cm]]^2))/40000</f>
        <v>3.9831499272628121E-2</v>
      </c>
      <c r="F1206" s="56">
        <f>Pinus[[#This Row],[gi_m²]]*Pinus[[#This Row],[h_m]]*0.45</f>
        <v>0.28284347633493229</v>
      </c>
    </row>
    <row r="1207" spans="1:6" x14ac:dyDescent="0.3">
      <c r="A1207" s="37">
        <v>13</v>
      </c>
      <c r="B1207" s="37">
        <v>6</v>
      </c>
      <c r="C1207" s="55">
        <v>24.39</v>
      </c>
      <c r="D1207" s="55">
        <v>16.13</v>
      </c>
      <c r="E1207" s="56">
        <f>(PI()*(Pinus[[#This Row],[d_cm]]^2))/40000</f>
        <v>4.6721145479638321E-2</v>
      </c>
      <c r="F1207" s="56">
        <f>Pinus[[#This Row],[gi_m²]]*Pinus[[#This Row],[h_m]]*0.45</f>
        <v>0.33912543446395471</v>
      </c>
    </row>
    <row r="1208" spans="1:6" x14ac:dyDescent="0.3">
      <c r="A1208" s="37">
        <v>13</v>
      </c>
      <c r="B1208" s="37">
        <v>7</v>
      </c>
      <c r="C1208" s="55">
        <v>16.05</v>
      </c>
      <c r="D1208" s="55">
        <v>14.27</v>
      </c>
      <c r="E1208" s="56">
        <f>(PI()*(Pinus[[#This Row],[d_cm]]^2))/40000</f>
        <v>2.0232053038659117E-2</v>
      </c>
      <c r="F1208" s="56">
        <f>Pinus[[#This Row],[gi_m²]]*Pinus[[#This Row],[h_m]]*0.45</f>
        <v>0.12992012858774951</v>
      </c>
    </row>
    <row r="1209" spans="1:6" x14ac:dyDescent="0.3">
      <c r="A1209" s="37">
        <v>13</v>
      </c>
      <c r="B1209" s="37">
        <v>8</v>
      </c>
      <c r="C1209" s="55">
        <v>24.43</v>
      </c>
      <c r="D1209" s="55">
        <v>16.14</v>
      </c>
      <c r="E1209" s="56">
        <f>(PI()*(Pinus[[#This Row],[d_cm]]^2))/40000</f>
        <v>4.6874518032986569E-2</v>
      </c>
      <c r="F1209" s="56">
        <f>Pinus[[#This Row],[gi_m²]]*Pinus[[#This Row],[h_m]]*0.45</f>
        <v>0.34044962447358151</v>
      </c>
    </row>
    <row r="1210" spans="1:6" x14ac:dyDescent="0.3">
      <c r="A1210" s="37">
        <v>13</v>
      </c>
      <c r="B1210" s="37">
        <v>9</v>
      </c>
      <c r="C1210" s="55">
        <v>18.04</v>
      </c>
      <c r="D1210" s="55">
        <v>14.79</v>
      </c>
      <c r="E1210" s="56">
        <f>(PI()*(Pinus[[#This Row],[d_cm]]^2))/40000</f>
        <v>2.55601234933127E-2</v>
      </c>
      <c r="F1210" s="56">
        <f>Pinus[[#This Row],[gi_m²]]*Pinus[[#This Row],[h_m]]*0.45</f>
        <v>0.17011540190974267</v>
      </c>
    </row>
    <row r="1211" spans="1:6" x14ac:dyDescent="0.3">
      <c r="A1211" s="37">
        <v>13</v>
      </c>
      <c r="B1211" s="37">
        <v>10</v>
      </c>
      <c r="C1211" s="55">
        <v>21.18</v>
      </c>
      <c r="D1211" s="55">
        <v>15.5</v>
      </c>
      <c r="E1211" s="56">
        <f>(PI()*(Pinus[[#This Row],[d_cm]]^2))/40000</f>
        <v>3.5232364707405352E-2</v>
      </c>
      <c r="F1211" s="56">
        <f>Pinus[[#This Row],[gi_m²]]*Pinus[[#This Row],[h_m]]*0.45</f>
        <v>0.24574574383415235</v>
      </c>
    </row>
    <row r="1212" spans="1:6" x14ac:dyDescent="0.3">
      <c r="A1212" s="37">
        <v>13</v>
      </c>
      <c r="B1212" s="37">
        <v>11</v>
      </c>
      <c r="C1212" s="55">
        <v>20.81</v>
      </c>
      <c r="D1212" s="55">
        <v>15.42</v>
      </c>
      <c r="E1212" s="56">
        <f>(PI()*(Pinus[[#This Row],[d_cm]]^2))/40000</f>
        <v>3.4012146558806168E-2</v>
      </c>
      <c r="F1212" s="56">
        <f>Pinus[[#This Row],[gi_m²]]*Pinus[[#This Row],[h_m]]*0.45</f>
        <v>0.23601028497155599</v>
      </c>
    </row>
    <row r="1213" spans="1:6" x14ac:dyDescent="0.3">
      <c r="A1213" s="37">
        <v>13</v>
      </c>
      <c r="B1213" s="37">
        <v>12</v>
      </c>
      <c r="C1213" s="55">
        <v>18.29</v>
      </c>
      <c r="D1213" s="55">
        <v>14.85</v>
      </c>
      <c r="E1213" s="56">
        <f>(PI()*(Pinus[[#This Row],[d_cm]]^2))/40000</f>
        <v>2.6273461375218431E-2</v>
      </c>
      <c r="F1213" s="56">
        <f>Pinus[[#This Row],[gi_m²]]*Pinus[[#This Row],[h_m]]*0.45</f>
        <v>0.17557240563989715</v>
      </c>
    </row>
    <row r="1214" spans="1:6" x14ac:dyDescent="0.3">
      <c r="A1214" s="37">
        <v>13</v>
      </c>
      <c r="B1214" s="37">
        <v>13</v>
      </c>
      <c r="C1214" s="55">
        <v>21.07</v>
      </c>
      <c r="D1214" s="55">
        <v>15.48</v>
      </c>
      <c r="E1214" s="56">
        <f>(PI()*(Pinus[[#This Row],[d_cm]]^2))/40000</f>
        <v>3.4867350910966384E-2</v>
      </c>
      <c r="F1214" s="56">
        <f>Pinus[[#This Row],[gi_m²]]*Pinus[[#This Row],[h_m]]*0.45</f>
        <v>0.24288596644579186</v>
      </c>
    </row>
    <row r="1215" spans="1:6" x14ac:dyDescent="0.3">
      <c r="A1215" s="37">
        <v>13</v>
      </c>
      <c r="B1215" s="37">
        <v>14</v>
      </c>
      <c r="C1215" s="55">
        <v>15.08</v>
      </c>
      <c r="D1215" s="55">
        <v>13.99</v>
      </c>
      <c r="E1215" s="56">
        <f>(PI()*(Pinus[[#This Row],[d_cm]]^2))/40000</f>
        <v>1.7860456890482546E-2</v>
      </c>
      <c r="F1215" s="56">
        <f>Pinus[[#This Row],[gi_m²]]*Pinus[[#This Row],[h_m]]*0.45</f>
        <v>0.11244050635403288</v>
      </c>
    </row>
    <row r="1216" spans="1:6" x14ac:dyDescent="0.3">
      <c r="A1216" s="37">
        <v>13</v>
      </c>
      <c r="B1216" s="37">
        <v>15</v>
      </c>
      <c r="C1216" s="55">
        <v>19.46</v>
      </c>
      <c r="D1216" s="55">
        <v>15.13</v>
      </c>
      <c r="E1216" s="56">
        <f>(PI()*(Pinus[[#This Row],[d_cm]]^2))/40000</f>
        <v>2.9742368713404119E-2</v>
      </c>
      <c r="F1216" s="56">
        <f>Pinus[[#This Row],[gi_m²]]*Pinus[[#This Row],[h_m]]*0.45</f>
        <v>0.20250091738521195</v>
      </c>
    </row>
    <row r="1217" spans="1:6" x14ac:dyDescent="0.3">
      <c r="A1217" s="37">
        <v>13</v>
      </c>
      <c r="B1217" s="37">
        <v>16</v>
      </c>
      <c r="C1217" s="55">
        <v>23.3</v>
      </c>
      <c r="D1217" s="55">
        <v>15.93</v>
      </c>
      <c r="E1217" s="56">
        <f>(PI()*(Pinus[[#This Row],[d_cm]]^2))/40000</f>
        <v>4.2638480892684065E-2</v>
      </c>
      <c r="F1217" s="56">
        <f>Pinus[[#This Row],[gi_m²]]*Pinus[[#This Row],[h_m]]*0.45</f>
        <v>0.30565395027920572</v>
      </c>
    </row>
    <row r="1218" spans="1:6" x14ac:dyDescent="0.3">
      <c r="A1218" s="37">
        <v>13</v>
      </c>
      <c r="B1218" s="37">
        <v>17</v>
      </c>
      <c r="C1218" s="55">
        <v>11.3</v>
      </c>
      <c r="D1218" s="55">
        <v>12.71</v>
      </c>
      <c r="E1218" s="56">
        <f>(PI()*(Pinus[[#This Row],[d_cm]]^2))/40000</f>
        <v>1.0028749148422018E-2</v>
      </c>
      <c r="F1218" s="56">
        <f>Pinus[[#This Row],[gi_m²]]*Pinus[[#This Row],[h_m]]*0.45</f>
        <v>5.7359430754399733E-2</v>
      </c>
    </row>
    <row r="1219" spans="1:6" x14ac:dyDescent="0.3">
      <c r="A1219" s="37">
        <v>13</v>
      </c>
      <c r="B1219" s="37">
        <v>18</v>
      </c>
      <c r="C1219" s="55">
        <v>14.05</v>
      </c>
      <c r="D1219" s="55">
        <v>13.68</v>
      </c>
      <c r="E1219" s="56">
        <f>(PI()*(Pinus[[#This Row],[d_cm]]^2))/40000</f>
        <v>1.5503956095006481E-2</v>
      </c>
      <c r="F1219" s="56">
        <f>Pinus[[#This Row],[gi_m²]]*Pinus[[#This Row],[h_m]]*0.45</f>
        <v>9.5442353720859907E-2</v>
      </c>
    </row>
    <row r="1220" spans="1:6" x14ac:dyDescent="0.3">
      <c r="A1220" s="37">
        <v>13</v>
      </c>
      <c r="B1220" s="37">
        <v>19</v>
      </c>
      <c r="C1220" s="55">
        <v>15.35</v>
      </c>
      <c r="D1220" s="55">
        <v>14.07</v>
      </c>
      <c r="E1220" s="56">
        <f>(PI()*(Pinus[[#This Row],[d_cm]]^2))/40000</f>
        <v>1.8505747875511524E-2</v>
      </c>
      <c r="F1220" s="56">
        <f>Pinus[[#This Row],[gi_m²]]*Pinus[[#This Row],[h_m]]*0.45</f>
        <v>0.11716914267380121</v>
      </c>
    </row>
    <row r="1221" spans="1:6" x14ac:dyDescent="0.3">
      <c r="A1221" s="37">
        <v>13</v>
      </c>
      <c r="B1221" s="37">
        <v>20</v>
      </c>
      <c r="C1221" s="55">
        <v>13.64</v>
      </c>
      <c r="D1221" s="55">
        <v>13.55</v>
      </c>
      <c r="E1221" s="56">
        <f>(PI()*(Pinus[[#This Row],[d_cm]]^2))/40000</f>
        <v>1.4612301414082993E-2</v>
      </c>
      <c r="F1221" s="56">
        <f>Pinus[[#This Row],[gi_m²]]*Pinus[[#This Row],[h_m]]*0.45</f>
        <v>8.9098507872371058E-2</v>
      </c>
    </row>
    <row r="1222" spans="1:6" x14ac:dyDescent="0.3">
      <c r="A1222" s="37">
        <v>13</v>
      </c>
      <c r="B1222" s="37">
        <v>21</v>
      </c>
      <c r="C1222" s="55">
        <v>21.68</v>
      </c>
      <c r="D1222" s="55">
        <v>15.61</v>
      </c>
      <c r="E1222" s="56">
        <f>(PI()*(Pinus[[#This Row],[d_cm]]^2))/40000</f>
        <v>3.6915472971566075E-2</v>
      </c>
      <c r="F1222" s="56">
        <f>Pinus[[#This Row],[gi_m²]]*Pinus[[#This Row],[h_m]]*0.45</f>
        <v>0.25931273988876585</v>
      </c>
    </row>
    <row r="1223" spans="1:6" x14ac:dyDescent="0.3">
      <c r="A1223" s="37">
        <v>13</v>
      </c>
      <c r="B1223" s="37">
        <v>22</v>
      </c>
      <c r="C1223" s="55">
        <v>16.03</v>
      </c>
      <c r="D1223" s="55">
        <v>14.26</v>
      </c>
      <c r="E1223" s="56">
        <f>(PI()*(Pinus[[#This Row],[d_cm]]^2))/40000</f>
        <v>2.0181661892495539E-2</v>
      </c>
      <c r="F1223" s="56">
        <f>Pinus[[#This Row],[gi_m²]]*Pinus[[#This Row],[h_m]]*0.45</f>
        <v>0.1295057243641439</v>
      </c>
    </row>
    <row r="1224" spans="1:6" x14ac:dyDescent="0.3">
      <c r="A1224" s="37">
        <v>13</v>
      </c>
      <c r="B1224" s="37">
        <v>23</v>
      </c>
      <c r="C1224" s="55">
        <v>11.34</v>
      </c>
      <c r="D1224" s="55">
        <v>12.73</v>
      </c>
      <c r="E1224" s="56">
        <f>(PI()*(Pinus[[#This Row],[d_cm]]^2))/40000</f>
        <v>1.009987480609929E-2</v>
      </c>
      <c r="F1224" s="56">
        <f>Pinus[[#This Row],[gi_m²]]*Pinus[[#This Row],[h_m]]*0.45</f>
        <v>5.7857132826739779E-2</v>
      </c>
    </row>
    <row r="1225" spans="1:6" x14ac:dyDescent="0.3">
      <c r="A1225" s="37">
        <v>13</v>
      </c>
      <c r="B1225" s="37">
        <v>24</v>
      </c>
      <c r="C1225" s="55">
        <v>17.45</v>
      </c>
      <c r="D1225" s="55">
        <v>14.64</v>
      </c>
      <c r="E1225" s="56">
        <f>(PI()*(Pinus[[#This Row],[d_cm]]^2))/40000</f>
        <v>2.3915570424993149E-2</v>
      </c>
      <c r="F1225" s="56">
        <f>Pinus[[#This Row],[gi_m²]]*Pinus[[#This Row],[h_m]]*0.45</f>
        <v>0.15755577795985487</v>
      </c>
    </row>
    <row r="1226" spans="1:6" x14ac:dyDescent="0.3">
      <c r="A1226" s="37">
        <v>13</v>
      </c>
      <c r="B1226" s="37">
        <v>25</v>
      </c>
      <c r="C1226" s="55">
        <v>18.440000000000001</v>
      </c>
      <c r="D1226" s="55">
        <v>14.89</v>
      </c>
      <c r="E1226" s="56">
        <f>(PI()*(Pinus[[#This Row],[d_cm]]^2))/40000</f>
        <v>2.6706176493342258E-2</v>
      </c>
      <c r="F1226" s="56">
        <f>Pinus[[#This Row],[gi_m²]]*Pinus[[#This Row],[h_m]]*0.45</f>
        <v>0.17894473559363983</v>
      </c>
    </row>
    <row r="1227" spans="1:6" x14ac:dyDescent="0.3">
      <c r="A1227" s="37">
        <v>13</v>
      </c>
      <c r="B1227" s="37">
        <v>26</v>
      </c>
      <c r="C1227" s="55">
        <v>23.43</v>
      </c>
      <c r="D1227" s="55">
        <v>15.95</v>
      </c>
      <c r="E1227" s="56">
        <f>(PI()*(Pinus[[#This Row],[d_cm]]^2))/40000</f>
        <v>4.311560242296638E-2</v>
      </c>
      <c r="F1227" s="56">
        <f>Pinus[[#This Row],[gi_m²]]*Pinus[[#This Row],[h_m]]*0.45</f>
        <v>0.30946223639084119</v>
      </c>
    </row>
    <row r="1228" spans="1:6" x14ac:dyDescent="0.3">
      <c r="A1228" s="37">
        <v>13</v>
      </c>
      <c r="B1228" s="37">
        <v>27</v>
      </c>
      <c r="C1228" s="55">
        <v>15.58</v>
      </c>
      <c r="D1228" s="55">
        <v>14.14</v>
      </c>
      <c r="E1228" s="56">
        <f>(PI()*(Pinus[[#This Row],[d_cm]]^2))/40000</f>
        <v>1.9064472274970837E-2</v>
      </c>
      <c r="F1228" s="56">
        <f>Pinus[[#This Row],[gi_m²]]*Pinus[[#This Row],[h_m]]*0.45</f>
        <v>0.12130723708563944</v>
      </c>
    </row>
    <row r="1229" spans="1:6" x14ac:dyDescent="0.3">
      <c r="A1229" s="37">
        <v>13</v>
      </c>
      <c r="B1229" s="37">
        <v>28</v>
      </c>
      <c r="C1229" s="55">
        <v>24.65</v>
      </c>
      <c r="D1229" s="55">
        <v>16.18</v>
      </c>
      <c r="E1229" s="56">
        <f>(PI()*(Pinus[[#This Row],[d_cm]]^2))/40000</f>
        <v>4.77225595538966E-2</v>
      </c>
      <c r="F1229" s="56">
        <f>Pinus[[#This Row],[gi_m²]]*Pinus[[#This Row],[h_m]]*0.45</f>
        <v>0.34746795611192116</v>
      </c>
    </row>
    <row r="1230" spans="1:6" x14ac:dyDescent="0.3">
      <c r="A1230" s="37">
        <v>13</v>
      </c>
      <c r="B1230" s="37">
        <v>29</v>
      </c>
      <c r="C1230" s="55">
        <v>21.59</v>
      </c>
      <c r="D1230" s="55">
        <v>15.59</v>
      </c>
      <c r="E1230" s="56">
        <f>(PI()*(Pinus[[#This Row],[d_cm]]^2))/40000</f>
        <v>3.6609615364794214E-2</v>
      </c>
      <c r="F1230" s="56">
        <f>Pinus[[#This Row],[gi_m²]]*Pinus[[#This Row],[h_m]]*0.45</f>
        <v>0.25683475659171379</v>
      </c>
    </row>
    <row r="1231" spans="1:6" x14ac:dyDescent="0.3">
      <c r="A1231" s="37">
        <v>13</v>
      </c>
      <c r="B1231" s="37">
        <v>30</v>
      </c>
      <c r="C1231" s="55">
        <v>21.45</v>
      </c>
      <c r="D1231" s="55">
        <v>15.56</v>
      </c>
      <c r="E1231" s="56">
        <f>(PI()*(Pinus[[#This Row],[d_cm]]^2))/40000</f>
        <v>3.6136365847457441E-2</v>
      </c>
      <c r="F1231" s="56">
        <f>Pinus[[#This Row],[gi_m²]]*Pinus[[#This Row],[h_m]]*0.45</f>
        <v>0.253026833663897</v>
      </c>
    </row>
    <row r="1232" spans="1:6" x14ac:dyDescent="0.3">
      <c r="A1232" s="37">
        <v>13</v>
      </c>
      <c r="B1232" s="37">
        <v>31</v>
      </c>
      <c r="C1232" s="55">
        <v>16.59</v>
      </c>
      <c r="D1232" s="55">
        <v>14.42</v>
      </c>
      <c r="E1232" s="56">
        <f>(PI()*(Pinus[[#This Row],[d_cm]]^2))/40000</f>
        <v>2.1616364425536924E-2</v>
      </c>
      <c r="F1232" s="56">
        <f>Pinus[[#This Row],[gi_m²]]*Pinus[[#This Row],[h_m]]*0.45</f>
        <v>0.1402685887573091</v>
      </c>
    </row>
    <row r="1233" spans="1:6" x14ac:dyDescent="0.3">
      <c r="A1233" s="37">
        <v>13</v>
      </c>
      <c r="B1233" s="37">
        <v>32</v>
      </c>
      <c r="C1233" s="55">
        <v>27.81</v>
      </c>
      <c r="D1233" s="55">
        <v>16.71</v>
      </c>
      <c r="E1233" s="56">
        <f>(PI()*(Pinus[[#This Row],[d_cm]]^2))/40000</f>
        <v>6.0742387651874924E-2</v>
      </c>
      <c r="F1233" s="56">
        <f>Pinus[[#This Row],[gi_m²]]*Pinus[[#This Row],[h_m]]*0.45</f>
        <v>0.45675238394827355</v>
      </c>
    </row>
    <row r="1234" spans="1:6" x14ac:dyDescent="0.3">
      <c r="A1234" s="37">
        <v>13</v>
      </c>
      <c r="B1234" s="37">
        <v>33</v>
      </c>
      <c r="C1234" s="55">
        <v>19.34</v>
      </c>
      <c r="D1234" s="55">
        <v>15.1</v>
      </c>
      <c r="E1234" s="56">
        <f>(PI()*(Pinus[[#This Row],[d_cm]]^2))/40000</f>
        <v>2.937668732852626E-2</v>
      </c>
      <c r="F1234" s="56">
        <f>Pinus[[#This Row],[gi_m²]]*Pinus[[#This Row],[h_m]]*0.45</f>
        <v>0.19961459039733592</v>
      </c>
    </row>
    <row r="1235" spans="1:6" x14ac:dyDescent="0.3">
      <c r="A1235" s="37">
        <v>13</v>
      </c>
      <c r="B1235" s="37">
        <v>34</v>
      </c>
      <c r="C1235" s="55">
        <v>12.7</v>
      </c>
      <c r="D1235" s="55">
        <v>13.23</v>
      </c>
      <c r="E1235" s="56">
        <f>(PI()*(Pinus[[#This Row],[d_cm]]^2))/40000</f>
        <v>1.2667686977437443E-2</v>
      </c>
      <c r="F1235" s="56">
        <f>Pinus[[#This Row],[gi_m²]]*Pinus[[#This Row],[h_m]]*0.45</f>
        <v>7.5417074420173813E-2</v>
      </c>
    </row>
    <row r="1236" spans="1:6" x14ac:dyDescent="0.3">
      <c r="A1236" s="37">
        <v>13</v>
      </c>
      <c r="B1236" s="37">
        <v>35</v>
      </c>
      <c r="C1236" s="55">
        <v>19.18</v>
      </c>
      <c r="D1236" s="55">
        <v>15.06</v>
      </c>
      <c r="E1236" s="56">
        <f>(PI()*(Pinus[[#This Row],[d_cm]]^2))/40000</f>
        <v>2.8892630732461146E-2</v>
      </c>
      <c r="F1236" s="56">
        <f>Pinus[[#This Row],[gi_m²]]*Pinus[[#This Row],[h_m]]*0.45</f>
        <v>0.19580535847388922</v>
      </c>
    </row>
    <row r="1237" spans="1:6" x14ac:dyDescent="0.3">
      <c r="A1237" s="37">
        <v>13</v>
      </c>
      <c r="B1237" s="37">
        <v>36</v>
      </c>
      <c r="C1237" s="55">
        <v>12.26</v>
      </c>
      <c r="D1237" s="55">
        <v>13.07</v>
      </c>
      <c r="E1237" s="56">
        <f>(PI()*(Pinus[[#This Row],[d_cm]]^2))/40000</f>
        <v>1.180513129846783E-2</v>
      </c>
      <c r="F1237" s="56">
        <f>Pinus[[#This Row],[gi_m²]]*Pinus[[#This Row],[h_m]]*0.45</f>
        <v>6.9431879731938539E-2</v>
      </c>
    </row>
    <row r="1238" spans="1:6" x14ac:dyDescent="0.3">
      <c r="A1238" s="37">
        <v>13</v>
      </c>
      <c r="B1238" s="37">
        <v>37</v>
      </c>
      <c r="C1238" s="55">
        <v>18.760000000000002</v>
      </c>
      <c r="D1238" s="55">
        <v>14.96</v>
      </c>
      <c r="E1238" s="56">
        <f>(PI()*(Pinus[[#This Row],[d_cm]]^2))/40000</f>
        <v>2.764111446705058E-2</v>
      </c>
      <c r="F1238" s="56">
        <f>Pinus[[#This Row],[gi_m²]]*Pinus[[#This Row],[h_m]]*0.45</f>
        <v>0.1860799825921845</v>
      </c>
    </row>
    <row r="1239" spans="1:6" x14ac:dyDescent="0.3">
      <c r="A1239" s="37">
        <v>13</v>
      </c>
      <c r="B1239" s="37">
        <v>38</v>
      </c>
      <c r="C1239" s="55">
        <v>18.309999999999999</v>
      </c>
      <c r="D1239" s="55">
        <v>14.86</v>
      </c>
      <c r="E1239" s="56">
        <f>(PI()*(Pinus[[#This Row],[d_cm]]^2))/40000</f>
        <v>2.6330952520779122E-2</v>
      </c>
      <c r="F1239" s="56">
        <f>Pinus[[#This Row],[gi_m²]]*Pinus[[#This Row],[h_m]]*0.45</f>
        <v>0.17607507950644999</v>
      </c>
    </row>
    <row r="1240" spans="1:6" x14ac:dyDescent="0.3">
      <c r="A1240" s="37">
        <v>13</v>
      </c>
      <c r="B1240" s="37">
        <v>39</v>
      </c>
      <c r="C1240" s="55">
        <v>22.73</v>
      </c>
      <c r="D1240" s="55">
        <v>15.82</v>
      </c>
      <c r="E1240" s="56">
        <f>(PI()*(Pinus[[#This Row],[d_cm]]^2))/40000</f>
        <v>4.0577823877396557E-2</v>
      </c>
      <c r="F1240" s="56">
        <f>Pinus[[#This Row],[gi_m²]]*Pinus[[#This Row],[h_m]]*0.45</f>
        <v>0.28887352818318612</v>
      </c>
    </row>
    <row r="1241" spans="1:6" x14ac:dyDescent="0.3">
      <c r="A1241" s="37">
        <v>13</v>
      </c>
      <c r="B1241" s="37">
        <v>40</v>
      </c>
      <c r="C1241" s="55">
        <v>24.04</v>
      </c>
      <c r="D1241" s="55">
        <v>16.07</v>
      </c>
      <c r="E1241" s="56">
        <f>(PI()*(Pinus[[#This Row],[d_cm]]^2))/40000</f>
        <v>4.5389856322771475E-2</v>
      </c>
      <c r="F1241" s="56">
        <f>Pinus[[#This Row],[gi_m²]]*Pinus[[#This Row],[h_m]]*0.45</f>
        <v>0.32823674599812197</v>
      </c>
    </row>
    <row r="1242" spans="1:6" x14ac:dyDescent="0.3">
      <c r="A1242" s="37">
        <v>13</v>
      </c>
      <c r="B1242" s="37">
        <v>41</v>
      </c>
      <c r="C1242" s="55">
        <v>17.100000000000001</v>
      </c>
      <c r="D1242" s="55">
        <v>14.55</v>
      </c>
      <c r="E1242" s="56">
        <f>(PI()*(Pinus[[#This Row],[d_cm]]^2))/40000</f>
        <v>2.2965827695904786E-2</v>
      </c>
      <c r="F1242" s="56">
        <f>Pinus[[#This Row],[gi_m²]]*Pinus[[#This Row],[h_m]]*0.45</f>
        <v>0.15036875683893661</v>
      </c>
    </row>
    <row r="1243" spans="1:6" x14ac:dyDescent="0.3">
      <c r="A1243" s="37">
        <v>13</v>
      </c>
      <c r="B1243" s="37">
        <v>42</v>
      </c>
      <c r="C1243" s="55">
        <v>23.22</v>
      </c>
      <c r="D1243" s="55">
        <v>15.91</v>
      </c>
      <c r="E1243" s="56">
        <f>(PI()*(Pinus[[#This Row],[d_cm]]^2))/40000</f>
        <v>4.2346187112194067E-2</v>
      </c>
      <c r="F1243" s="56">
        <f>Pinus[[#This Row],[gi_m²]]*Pinus[[#This Row],[h_m]]*0.45</f>
        <v>0.30317752662975345</v>
      </c>
    </row>
    <row r="1244" spans="1:6" x14ac:dyDescent="0.3">
      <c r="A1244" s="37">
        <v>13</v>
      </c>
      <c r="B1244" s="37">
        <v>43</v>
      </c>
      <c r="C1244" s="55">
        <v>25.7</v>
      </c>
      <c r="D1244" s="55">
        <v>16.36</v>
      </c>
      <c r="E1244" s="56">
        <f>(PI()*(Pinus[[#This Row],[d_cm]]^2))/40000</f>
        <v>5.1874763294238062E-2</v>
      </c>
      <c r="F1244" s="56">
        <f>Pinus[[#This Row],[gi_m²]]*Pinus[[#This Row],[h_m]]*0.45</f>
        <v>0.38190200737218061</v>
      </c>
    </row>
    <row r="1245" spans="1:6" x14ac:dyDescent="0.3">
      <c r="A1245" s="37">
        <v>13</v>
      </c>
      <c r="B1245" s="37">
        <v>44</v>
      </c>
      <c r="C1245" s="55">
        <v>16.86</v>
      </c>
      <c r="D1245" s="55">
        <v>14.49</v>
      </c>
      <c r="E1245" s="56">
        <f>(PI()*(Pinus[[#This Row],[d_cm]]^2))/40000</f>
        <v>2.2325696776809328E-2</v>
      </c>
      <c r="F1245" s="56">
        <f>Pinus[[#This Row],[gi_m²]]*Pinus[[#This Row],[h_m]]*0.45</f>
        <v>0.14557470583318521</v>
      </c>
    </row>
    <row r="1246" spans="1:6" x14ac:dyDescent="0.3">
      <c r="A1246" s="37">
        <v>13</v>
      </c>
      <c r="B1246" s="37">
        <v>45</v>
      </c>
      <c r="C1246" s="55">
        <v>17.39</v>
      </c>
      <c r="D1246" s="55">
        <v>14.63</v>
      </c>
      <c r="E1246" s="56">
        <f>(PI()*(Pinus[[#This Row],[d_cm]]^2))/40000</f>
        <v>2.3751390792916546E-2</v>
      </c>
      <c r="F1246" s="56">
        <f>Pinus[[#This Row],[gi_m²]]*Pinus[[#This Row],[h_m]]*0.45</f>
        <v>0.15636728128516611</v>
      </c>
    </row>
    <row r="1247" spans="1:6" x14ac:dyDescent="0.3">
      <c r="A1247" s="37">
        <v>13</v>
      </c>
      <c r="B1247" s="37">
        <v>46</v>
      </c>
      <c r="C1247" s="55">
        <v>22.6</v>
      </c>
      <c r="D1247" s="55">
        <v>15.79</v>
      </c>
      <c r="E1247" s="56">
        <f>(PI()*(Pinus[[#This Row],[d_cm]]^2))/40000</f>
        <v>4.0114996593688071E-2</v>
      </c>
      <c r="F1247" s="56">
        <f>Pinus[[#This Row],[gi_m²]]*Pinus[[#This Row],[h_m]]*0.45</f>
        <v>0.28503710829645057</v>
      </c>
    </row>
    <row r="1248" spans="1:6" x14ac:dyDescent="0.3">
      <c r="A1248" s="37">
        <v>13</v>
      </c>
      <c r="B1248" s="37">
        <v>47</v>
      </c>
      <c r="C1248" s="55">
        <v>20.73</v>
      </c>
      <c r="D1248" s="55">
        <v>15.41</v>
      </c>
      <c r="E1248" s="56">
        <f>(PI()*(Pinus[[#This Row],[d_cm]]^2))/40000</f>
        <v>3.3751143041145931E-2</v>
      </c>
      <c r="F1248" s="56">
        <f>Pinus[[#This Row],[gi_m²]]*Pinus[[#This Row],[h_m]]*0.45</f>
        <v>0.23404730141882646</v>
      </c>
    </row>
    <row r="1249" spans="1:6" x14ac:dyDescent="0.3">
      <c r="A1249" s="37">
        <v>13</v>
      </c>
      <c r="B1249" s="37">
        <v>48</v>
      </c>
      <c r="C1249" s="55">
        <v>22.2</v>
      </c>
      <c r="D1249" s="55">
        <v>15.71</v>
      </c>
      <c r="E1249" s="56">
        <f>(PI()*(Pinus[[#This Row],[d_cm]]^2))/40000</f>
        <v>3.870756308487984E-2</v>
      </c>
      <c r="F1249" s="56">
        <f>Pinus[[#This Row],[gi_m²]]*Pinus[[#This Row],[h_m]]*0.45</f>
        <v>0.27364311722855805</v>
      </c>
    </row>
    <row r="1250" spans="1:6" x14ac:dyDescent="0.3">
      <c r="A1250" s="37">
        <v>13</v>
      </c>
      <c r="B1250" s="37">
        <v>49</v>
      </c>
      <c r="C1250" s="55">
        <v>25.62</v>
      </c>
      <c r="D1250" s="55">
        <v>16.350000000000001</v>
      </c>
      <c r="E1250" s="56">
        <f>(PI()*(Pinus[[#This Row],[d_cm]]^2))/40000</f>
        <v>5.1552310224273604E-2</v>
      </c>
      <c r="F1250" s="56">
        <f>Pinus[[#This Row],[gi_m²]]*Pinus[[#This Row],[h_m]]*0.45</f>
        <v>0.37929612247509303</v>
      </c>
    </row>
    <row r="1251" spans="1:6" x14ac:dyDescent="0.3">
      <c r="A1251" s="37">
        <v>13</v>
      </c>
      <c r="B1251" s="37">
        <v>50</v>
      </c>
      <c r="C1251" s="55">
        <v>21.55</v>
      </c>
      <c r="D1251" s="55">
        <v>15.58</v>
      </c>
      <c r="E1251" s="56">
        <f>(PI()*(Pinus[[#This Row],[d_cm]]^2))/40000</f>
        <v>3.6474087057718353E-2</v>
      </c>
      <c r="F1251" s="56">
        <f>Pinus[[#This Row],[gi_m²]]*Pinus[[#This Row],[h_m]]*0.45</f>
        <v>0.25571982436166341</v>
      </c>
    </row>
    <row r="1252" spans="1:6" x14ac:dyDescent="0.3">
      <c r="A1252" s="37">
        <v>13</v>
      </c>
      <c r="B1252" s="37">
        <v>51</v>
      </c>
      <c r="C1252" s="55">
        <v>24.21</v>
      </c>
      <c r="D1252" s="55">
        <v>16.100000000000001</v>
      </c>
      <c r="E1252" s="56">
        <f>(PI()*(Pinus[[#This Row],[d_cm]]^2))/40000</f>
        <v>4.6034079166298231E-2</v>
      </c>
      <c r="F1252" s="56">
        <f>Pinus[[#This Row],[gi_m²]]*Pinus[[#This Row],[h_m]]*0.45</f>
        <v>0.33351690355983077</v>
      </c>
    </row>
    <row r="1253" spans="1:6" x14ac:dyDescent="0.3">
      <c r="A1253" s="37">
        <v>13</v>
      </c>
      <c r="B1253" s="37">
        <v>52</v>
      </c>
      <c r="C1253" s="55">
        <v>22.49</v>
      </c>
      <c r="D1253" s="55">
        <v>15.77</v>
      </c>
      <c r="E1253" s="56">
        <f>(PI()*(Pinus[[#This Row],[d_cm]]^2))/40000</f>
        <v>3.9725446958624566E-2</v>
      </c>
      <c r="F1253" s="56">
        <f>Pinus[[#This Row],[gi_m²]]*Pinus[[#This Row],[h_m]]*0.45</f>
        <v>0.28191163434187921</v>
      </c>
    </row>
    <row r="1254" spans="1:6" x14ac:dyDescent="0.3">
      <c r="A1254" s="37">
        <v>13</v>
      </c>
      <c r="B1254" s="37">
        <v>53</v>
      </c>
      <c r="C1254" s="55">
        <v>21.73</v>
      </c>
      <c r="D1254" s="55">
        <v>15.62</v>
      </c>
      <c r="E1254" s="56">
        <f>(PI()*(Pinus[[#This Row],[d_cm]]^2))/40000</f>
        <v>3.7085943642931496E-2</v>
      </c>
      <c r="F1254" s="56">
        <f>Pinus[[#This Row],[gi_m²]]*Pinus[[#This Row],[h_m]]*0.45</f>
        <v>0.2606770978661655</v>
      </c>
    </row>
    <row r="1255" spans="1:6" x14ac:dyDescent="0.3">
      <c r="A1255" s="37">
        <v>13</v>
      </c>
      <c r="B1255" s="37">
        <v>54</v>
      </c>
      <c r="C1255" s="55">
        <v>21.54</v>
      </c>
      <c r="D1255" s="55">
        <v>15.58</v>
      </c>
      <c r="E1255" s="56">
        <f>(PI()*(Pinus[[#This Row],[d_cm]]^2))/40000</f>
        <v>3.6440244250857547E-2</v>
      </c>
      <c r="F1255" s="56">
        <f>Pinus[[#This Row],[gi_m²]]*Pinus[[#This Row],[h_m]]*0.45</f>
        <v>0.25548255244276225</v>
      </c>
    </row>
    <row r="1256" spans="1:6" x14ac:dyDescent="0.3">
      <c r="A1256" s="37">
        <v>13</v>
      </c>
      <c r="B1256" s="37">
        <v>55</v>
      </c>
      <c r="C1256" s="55">
        <v>25.17</v>
      </c>
      <c r="D1256" s="55">
        <v>16.27</v>
      </c>
      <c r="E1256" s="56">
        <f>(PI()*(Pinus[[#This Row],[d_cm]]^2))/40000</f>
        <v>4.9757243451920577E-2</v>
      </c>
      <c r="F1256" s="56">
        <f>Pinus[[#This Row],[gi_m²]]*Pinus[[#This Row],[h_m]]*0.45</f>
        <v>0.36429765793323649</v>
      </c>
    </row>
    <row r="1257" spans="1:6" x14ac:dyDescent="0.3">
      <c r="A1257" s="37">
        <v>13</v>
      </c>
      <c r="B1257" s="37">
        <v>56</v>
      </c>
      <c r="C1257" s="55">
        <v>15.99</v>
      </c>
      <c r="D1257" s="55">
        <v>14.25</v>
      </c>
      <c r="E1257" s="56">
        <f>(PI()*(Pinus[[#This Row],[d_cm]]^2))/40000</f>
        <v>2.0081068095727593E-2</v>
      </c>
      <c r="F1257" s="56">
        <f>Pinus[[#This Row],[gi_m²]]*Pinus[[#This Row],[h_m]]*0.45</f>
        <v>0.1287698491638532</v>
      </c>
    </row>
    <row r="1258" spans="1:6" x14ac:dyDescent="0.3">
      <c r="A1258" s="37">
        <v>13</v>
      </c>
      <c r="B1258" s="37">
        <v>57</v>
      </c>
      <c r="C1258" s="55">
        <v>15.58</v>
      </c>
      <c r="D1258" s="55">
        <v>14.14</v>
      </c>
      <c r="E1258" s="56">
        <f>(PI()*(Pinus[[#This Row],[d_cm]]^2))/40000</f>
        <v>1.9064472274970837E-2</v>
      </c>
      <c r="F1258" s="56">
        <f>Pinus[[#This Row],[gi_m²]]*Pinus[[#This Row],[h_m]]*0.45</f>
        <v>0.12130723708563944</v>
      </c>
    </row>
    <row r="1259" spans="1:6" x14ac:dyDescent="0.3">
      <c r="A1259" s="37">
        <v>13</v>
      </c>
      <c r="B1259" s="37">
        <v>58</v>
      </c>
      <c r="C1259" s="55">
        <v>22.37</v>
      </c>
      <c r="D1259" s="55">
        <v>15.75</v>
      </c>
      <c r="E1259" s="56">
        <f>(PI()*(Pinus[[#This Row],[d_cm]]^2))/40000</f>
        <v>3.930265141930446E-2</v>
      </c>
      <c r="F1259" s="56">
        <f>Pinus[[#This Row],[gi_m²]]*Pinus[[#This Row],[h_m]]*0.45</f>
        <v>0.27855754193432036</v>
      </c>
    </row>
    <row r="1260" spans="1:6" x14ac:dyDescent="0.3">
      <c r="A1260" s="37">
        <v>13</v>
      </c>
      <c r="B1260" s="37">
        <v>59</v>
      </c>
      <c r="C1260" s="55">
        <v>19.52</v>
      </c>
      <c r="D1260" s="55">
        <v>15.14</v>
      </c>
      <c r="E1260" s="56">
        <f>(PI()*(Pinus[[#This Row],[d_cm]]^2))/40000</f>
        <v>2.9926057635859506E-2</v>
      </c>
      <c r="F1260" s="56">
        <f>Pinus[[#This Row],[gi_m²]]*Pinus[[#This Row],[h_m]]*0.45</f>
        <v>0.20388623067311085</v>
      </c>
    </row>
    <row r="1261" spans="1:6" x14ac:dyDescent="0.3">
      <c r="A1261" s="37">
        <v>13</v>
      </c>
      <c r="B1261" s="37">
        <v>60</v>
      </c>
      <c r="C1261" s="55">
        <v>20.3</v>
      </c>
      <c r="D1261" s="55">
        <v>15.31</v>
      </c>
      <c r="E1261" s="56">
        <f>(PI()*(Pinus[[#This Row],[d_cm]]^2))/40000</f>
        <v>3.2365472915445455E-2</v>
      </c>
      <c r="F1261" s="56">
        <f>Pinus[[#This Row],[gi_m²]]*Pinus[[#This Row],[h_m]]*0.45</f>
        <v>0.22298192565096148</v>
      </c>
    </row>
    <row r="1262" spans="1:6" x14ac:dyDescent="0.3">
      <c r="A1262" s="37">
        <v>13</v>
      </c>
      <c r="B1262" s="37">
        <v>61</v>
      </c>
      <c r="C1262" s="55">
        <v>22.97</v>
      </c>
      <c r="D1262" s="55">
        <v>15.86</v>
      </c>
      <c r="E1262" s="56">
        <f>(PI()*(Pinus[[#This Row],[d_cm]]^2))/40000</f>
        <v>4.143924858301086E-2</v>
      </c>
      <c r="F1262" s="56">
        <f>Pinus[[#This Row],[gi_m²]]*Pinus[[#This Row],[h_m]]*0.45</f>
        <v>0.29575191713694854</v>
      </c>
    </row>
    <row r="1263" spans="1:6" x14ac:dyDescent="0.3">
      <c r="A1263" s="37">
        <v>13</v>
      </c>
      <c r="B1263" s="37">
        <v>62</v>
      </c>
      <c r="C1263" s="55">
        <v>23.01</v>
      </c>
      <c r="D1263" s="55">
        <v>15.87</v>
      </c>
      <c r="E1263" s="56">
        <f>(PI()*(Pinus[[#This Row],[d_cm]]^2))/40000</f>
        <v>4.1583699013222938E-2</v>
      </c>
      <c r="F1263" s="56">
        <f>Pinus[[#This Row],[gi_m²]]*Pinus[[#This Row],[h_m]]*0.45</f>
        <v>0.2969699865029316</v>
      </c>
    </row>
    <row r="1264" spans="1:6" x14ac:dyDescent="0.3">
      <c r="A1264" s="37">
        <v>13</v>
      </c>
      <c r="B1264" s="37">
        <v>63</v>
      </c>
      <c r="C1264" s="55">
        <v>18.95</v>
      </c>
      <c r="D1264" s="55">
        <v>15.01</v>
      </c>
      <c r="E1264" s="56">
        <f>(PI()*(Pinus[[#This Row],[d_cm]]^2))/40000</f>
        <v>2.8203844397143213E-2</v>
      </c>
      <c r="F1264" s="56">
        <f>Pinus[[#This Row],[gi_m²]]*Pinus[[#This Row],[h_m]]*0.45</f>
        <v>0.19050286698050384</v>
      </c>
    </row>
    <row r="1265" spans="1:6" x14ac:dyDescent="0.3">
      <c r="A1265" s="37">
        <v>13</v>
      </c>
      <c r="B1265" s="37">
        <v>64</v>
      </c>
      <c r="C1265" s="55">
        <v>18.75</v>
      </c>
      <c r="D1265" s="55">
        <v>14.96</v>
      </c>
      <c r="E1265" s="56">
        <f>(PI()*(Pinus[[#This Row],[d_cm]]^2))/40000</f>
        <v>2.7611654181941545E-2</v>
      </c>
      <c r="F1265" s="56">
        <f>Pinus[[#This Row],[gi_m²]]*Pinus[[#This Row],[h_m]]*0.45</f>
        <v>0.18588165595283049</v>
      </c>
    </row>
    <row r="1266" spans="1:6" x14ac:dyDescent="0.3">
      <c r="A1266" s="37">
        <v>13</v>
      </c>
      <c r="B1266" s="37">
        <v>65</v>
      </c>
      <c r="C1266" s="55">
        <v>20.29</v>
      </c>
      <c r="D1266" s="55">
        <v>15.31</v>
      </c>
      <c r="E1266" s="56">
        <f>(PI()*(Pinus[[#This Row],[d_cm]]^2))/40000</f>
        <v>3.2333593603993134E-2</v>
      </c>
      <c r="F1266" s="56">
        <f>Pinus[[#This Row],[gi_m²]]*Pinus[[#This Row],[h_m]]*0.45</f>
        <v>0.22276229313471071</v>
      </c>
    </row>
    <row r="1267" spans="1:6" x14ac:dyDescent="0.3">
      <c r="A1267" s="37">
        <v>13</v>
      </c>
      <c r="B1267" s="37">
        <v>66</v>
      </c>
      <c r="C1267" s="55">
        <v>24.25</v>
      </c>
      <c r="D1267" s="55">
        <v>16.100000000000001</v>
      </c>
      <c r="E1267" s="56">
        <f>(PI()*(Pinus[[#This Row],[d_cm]]^2))/40000</f>
        <v>4.6186320746291191E-2</v>
      </c>
      <c r="F1267" s="56">
        <f>Pinus[[#This Row],[gi_m²]]*Pinus[[#This Row],[h_m]]*0.45</f>
        <v>0.33461989380687973</v>
      </c>
    </row>
    <row r="1268" spans="1:6" x14ac:dyDescent="0.3">
      <c r="A1268" s="37">
        <v>13</v>
      </c>
      <c r="B1268" s="37">
        <v>67</v>
      </c>
      <c r="C1268" s="55">
        <v>21.7</v>
      </c>
      <c r="D1268" s="55">
        <v>15.61</v>
      </c>
      <c r="E1268" s="56">
        <f>(PI()*(Pinus[[#This Row],[d_cm]]^2))/40000</f>
        <v>3.6983614116222439E-2</v>
      </c>
      <c r="F1268" s="56">
        <f>Pinus[[#This Row],[gi_m²]]*Pinus[[#This Row],[h_m]]*0.45</f>
        <v>0.25979139735940454</v>
      </c>
    </row>
    <row r="1269" spans="1:6" x14ac:dyDescent="0.3">
      <c r="A1269" s="37">
        <v>13</v>
      </c>
      <c r="B1269" s="37">
        <v>68</v>
      </c>
      <c r="C1269" s="55">
        <v>25.73</v>
      </c>
      <c r="D1269" s="55">
        <v>16.37</v>
      </c>
      <c r="E1269" s="56">
        <f>(PI()*(Pinus[[#This Row],[d_cm]]^2))/40000</f>
        <v>5.1995942376868651E-2</v>
      </c>
      <c r="F1269" s="56">
        <f>Pinus[[#This Row],[gi_m²]]*Pinus[[#This Row],[h_m]]*0.45</f>
        <v>0.38302810951920296</v>
      </c>
    </row>
    <row r="1270" spans="1:6" x14ac:dyDescent="0.3">
      <c r="A1270" s="37">
        <v>13</v>
      </c>
      <c r="B1270" s="37">
        <v>69</v>
      </c>
      <c r="C1270" s="55">
        <v>19.97</v>
      </c>
      <c r="D1270" s="55">
        <v>15.24</v>
      </c>
      <c r="E1270" s="56">
        <f>(PI()*(Pinus[[#This Row],[d_cm]]^2))/40000</f>
        <v>3.1321749442124937E-2</v>
      </c>
      <c r="F1270" s="56">
        <f>Pinus[[#This Row],[gi_m²]]*Pinus[[#This Row],[h_m]]*0.45</f>
        <v>0.21480455767409284</v>
      </c>
    </row>
    <row r="1271" spans="1:6" x14ac:dyDescent="0.3">
      <c r="A1271" s="37">
        <v>13</v>
      </c>
      <c r="B1271" s="37">
        <v>70</v>
      </c>
      <c r="C1271" s="55">
        <v>24.5</v>
      </c>
      <c r="D1271" s="55">
        <v>16.149999999999999</v>
      </c>
      <c r="E1271" s="56">
        <f>(PI()*(Pinus[[#This Row],[d_cm]]^2))/40000</f>
        <v>4.7143524757931835E-2</v>
      </c>
      <c r="F1271" s="56">
        <f>Pinus[[#This Row],[gi_m²]]*Pinus[[#This Row],[h_m]]*0.45</f>
        <v>0.34261556617826955</v>
      </c>
    </row>
    <row r="1272" spans="1:6" x14ac:dyDescent="0.3">
      <c r="A1272" s="37">
        <v>13</v>
      </c>
      <c r="B1272" s="37">
        <v>71</v>
      </c>
      <c r="C1272" s="55">
        <v>23.53</v>
      </c>
      <c r="D1272" s="55">
        <v>15.97</v>
      </c>
      <c r="E1272" s="56">
        <f>(PI()*(Pinus[[#This Row],[d_cm]]^2))/40000</f>
        <v>4.348442540049783E-2</v>
      </c>
      <c r="F1272" s="56">
        <f>Pinus[[#This Row],[gi_m²]]*Pinus[[#This Row],[h_m]]*0.45</f>
        <v>0.31250082314067767</v>
      </c>
    </row>
    <row r="1273" spans="1:6" x14ac:dyDescent="0.3">
      <c r="A1273" s="37">
        <v>13</v>
      </c>
      <c r="B1273" s="37">
        <v>72</v>
      </c>
      <c r="C1273" s="55">
        <v>22.45</v>
      </c>
      <c r="D1273" s="55">
        <v>15.76</v>
      </c>
      <c r="E1273" s="56">
        <f>(PI()*(Pinus[[#This Row],[d_cm]]^2))/40000</f>
        <v>3.9584263784772235E-2</v>
      </c>
      <c r="F1273" s="56">
        <f>Pinus[[#This Row],[gi_m²]]*Pinus[[#This Row],[h_m]]*0.45</f>
        <v>0.28073159876160469</v>
      </c>
    </row>
    <row r="1274" spans="1:6" x14ac:dyDescent="0.3">
      <c r="A1274" s="37">
        <v>13</v>
      </c>
      <c r="B1274" s="37">
        <v>73</v>
      </c>
      <c r="C1274" s="55">
        <v>21.66</v>
      </c>
      <c r="D1274" s="55">
        <v>15.6</v>
      </c>
      <c r="E1274" s="56">
        <f>(PI()*(Pinus[[#This Row],[d_cm]]^2))/40000</f>
        <v>3.6847394658762786E-2</v>
      </c>
      <c r="F1274" s="56">
        <f>Pinus[[#This Row],[gi_m²]]*Pinus[[#This Row],[h_m]]*0.45</f>
        <v>0.25866871050451479</v>
      </c>
    </row>
    <row r="1275" spans="1:6" x14ac:dyDescent="0.3">
      <c r="A1275" s="37">
        <v>13</v>
      </c>
      <c r="B1275" s="37">
        <v>74</v>
      </c>
      <c r="C1275" s="55">
        <v>18.88</v>
      </c>
      <c r="D1275" s="55">
        <v>14.99</v>
      </c>
      <c r="E1275" s="56">
        <f>(PI()*(Pinus[[#This Row],[d_cm]]^2))/40000</f>
        <v>2.7995863109493934E-2</v>
      </c>
      <c r="F1275" s="56">
        <f>Pinus[[#This Row],[gi_m²]]*Pinus[[#This Row],[h_m]]*0.45</f>
        <v>0.18884609460509136</v>
      </c>
    </row>
    <row r="1276" spans="1:6" x14ac:dyDescent="0.3">
      <c r="A1276" s="37">
        <v>13</v>
      </c>
      <c r="B1276" s="37">
        <v>75</v>
      </c>
      <c r="C1276" s="55">
        <v>19.559999999999999</v>
      </c>
      <c r="D1276" s="55">
        <v>15.15</v>
      </c>
      <c r="E1276" s="56">
        <f>(PI()*(Pinus[[#This Row],[d_cm]]^2))/40000</f>
        <v>3.0048831076761793E-2</v>
      </c>
      <c r="F1276" s="56">
        <f>Pinus[[#This Row],[gi_m²]]*Pinus[[#This Row],[h_m]]*0.45</f>
        <v>0.20485790586582353</v>
      </c>
    </row>
    <row r="1277" spans="1:6" x14ac:dyDescent="0.3">
      <c r="A1277" s="37">
        <v>13</v>
      </c>
      <c r="B1277" s="37">
        <v>76</v>
      </c>
      <c r="C1277" s="55">
        <v>20.92</v>
      </c>
      <c r="D1277" s="55">
        <v>15.45</v>
      </c>
      <c r="E1277" s="56">
        <f>(PI()*(Pinus[[#This Row],[d_cm]]^2))/40000</f>
        <v>3.4372667877750507E-2</v>
      </c>
      <c r="F1277" s="56">
        <f>Pinus[[#This Row],[gi_m²]]*Pinus[[#This Row],[h_m]]*0.45</f>
        <v>0.23897597342006038</v>
      </c>
    </row>
    <row r="1278" spans="1:6" x14ac:dyDescent="0.3">
      <c r="A1278" s="37">
        <v>13</v>
      </c>
      <c r="B1278" s="37">
        <v>77</v>
      </c>
      <c r="C1278" s="55">
        <v>20.2</v>
      </c>
      <c r="D1278" s="55">
        <v>15.29</v>
      </c>
      <c r="E1278" s="56">
        <f>(PI()*(Pinus[[#This Row],[d_cm]]^2))/40000</f>
        <v>3.2047386659269476E-2</v>
      </c>
      <c r="F1278" s="56">
        <f>Pinus[[#This Row],[gi_m²]]*Pinus[[#This Row],[h_m]]*0.45</f>
        <v>0.22050204390910361</v>
      </c>
    </row>
    <row r="1279" spans="1:6" x14ac:dyDescent="0.3">
      <c r="A1279" s="37">
        <v>13</v>
      </c>
      <c r="B1279" s="37">
        <v>78</v>
      </c>
      <c r="C1279" s="55">
        <v>23.77</v>
      </c>
      <c r="D1279" s="55">
        <v>16.02</v>
      </c>
      <c r="E1279" s="56">
        <f>(PI()*(Pinus[[#This Row],[d_cm]]^2))/40000</f>
        <v>4.4376009395586606E-2</v>
      </c>
      <c r="F1279" s="56">
        <f>Pinus[[#This Row],[gi_m²]]*Pinus[[#This Row],[h_m]]*0.45</f>
        <v>0.31990665173278382</v>
      </c>
    </row>
    <row r="1280" spans="1:6" x14ac:dyDescent="0.3">
      <c r="A1280" s="37">
        <v>13</v>
      </c>
      <c r="B1280" s="37">
        <v>79</v>
      </c>
      <c r="C1280" s="55">
        <v>19.559999999999999</v>
      </c>
      <c r="D1280" s="55">
        <v>15.15</v>
      </c>
      <c r="E1280" s="56">
        <f>(PI()*(Pinus[[#This Row],[d_cm]]^2))/40000</f>
        <v>3.0048831076761793E-2</v>
      </c>
      <c r="F1280" s="56">
        <f>Pinus[[#This Row],[gi_m²]]*Pinus[[#This Row],[h_m]]*0.45</f>
        <v>0.20485790586582353</v>
      </c>
    </row>
    <row r="1281" spans="1:6" x14ac:dyDescent="0.3">
      <c r="A1281" s="37">
        <v>13</v>
      </c>
      <c r="B1281" s="37">
        <v>80</v>
      </c>
      <c r="C1281" s="55">
        <v>19.72</v>
      </c>
      <c r="D1281" s="55">
        <v>15.18</v>
      </c>
      <c r="E1281" s="56">
        <f>(PI()*(Pinus[[#This Row],[d_cm]]^2))/40000</f>
        <v>3.0542438114493819E-2</v>
      </c>
      <c r="F1281" s="56">
        <f>Pinus[[#This Row],[gi_m²]]*Pinus[[#This Row],[h_m]]*0.45</f>
        <v>0.20863539476010728</v>
      </c>
    </row>
    <row r="1282" spans="1:6" x14ac:dyDescent="0.3">
      <c r="A1282" s="37">
        <v>13</v>
      </c>
      <c r="B1282" s="37">
        <v>81</v>
      </c>
      <c r="C1282" s="55">
        <v>18.059999999999999</v>
      </c>
      <c r="D1282" s="55">
        <v>14.79</v>
      </c>
      <c r="E1282" s="56">
        <f>(PI()*(Pinus[[#This Row],[d_cm]]^2))/40000</f>
        <v>2.5616829240709994E-2</v>
      </c>
      <c r="F1282" s="56">
        <f>Pinus[[#This Row],[gi_m²]]*Pinus[[#This Row],[h_m]]*0.45</f>
        <v>0.17049280701154537</v>
      </c>
    </row>
    <row r="1283" spans="1:6" x14ac:dyDescent="0.3">
      <c r="A1283" s="37">
        <v>13</v>
      </c>
      <c r="B1283" s="37">
        <v>82</v>
      </c>
      <c r="C1283" s="55">
        <v>19.45</v>
      </c>
      <c r="D1283" s="55">
        <v>15.12</v>
      </c>
      <c r="E1283" s="56">
        <f>(PI()*(Pinus[[#This Row],[d_cm]]^2))/40000</f>
        <v>2.9711808870866316E-2</v>
      </c>
      <c r="F1283" s="56">
        <f>Pinus[[#This Row],[gi_m²]]*Pinus[[#This Row],[h_m]]*0.45</f>
        <v>0.20215914755737441</v>
      </c>
    </row>
    <row r="1284" spans="1:6" x14ac:dyDescent="0.3">
      <c r="A1284" s="37">
        <v>13</v>
      </c>
      <c r="B1284" s="37">
        <v>83</v>
      </c>
      <c r="C1284" s="55">
        <v>19.72</v>
      </c>
      <c r="D1284" s="55">
        <v>15.19</v>
      </c>
      <c r="E1284" s="56">
        <f>(PI()*(Pinus[[#This Row],[d_cm]]^2))/40000</f>
        <v>3.0542438114493819E-2</v>
      </c>
      <c r="F1284" s="56">
        <f>Pinus[[#This Row],[gi_m²]]*Pinus[[#This Row],[h_m]]*0.45</f>
        <v>0.20877283573162247</v>
      </c>
    </row>
    <row r="1285" spans="1:6" x14ac:dyDescent="0.3">
      <c r="A1285" s="37">
        <v>13</v>
      </c>
      <c r="B1285" s="37">
        <v>84</v>
      </c>
      <c r="C1285" s="55">
        <v>10.75</v>
      </c>
      <c r="D1285" s="55">
        <v>12.49</v>
      </c>
      <c r="E1285" s="56">
        <f>(PI()*(Pinus[[#This Row],[d_cm]]^2))/40000</f>
        <v>9.0762575257617613E-3</v>
      </c>
      <c r="F1285" s="56">
        <f>Pinus[[#This Row],[gi_m²]]*Pinus[[#This Row],[h_m]]*0.45</f>
        <v>5.1013105423543981E-2</v>
      </c>
    </row>
    <row r="1286" spans="1:6" x14ac:dyDescent="0.3">
      <c r="A1286" s="37">
        <v>13</v>
      </c>
      <c r="B1286" s="37">
        <v>85</v>
      </c>
      <c r="C1286" s="55">
        <v>14.54</v>
      </c>
      <c r="D1286" s="55">
        <v>13.83</v>
      </c>
      <c r="E1286" s="56">
        <f>(PI()*(Pinus[[#This Row],[d_cm]]^2))/40000</f>
        <v>1.6604228236091596E-2</v>
      </c>
      <c r="F1286" s="56">
        <f>Pinus[[#This Row],[gi_m²]]*Pinus[[#This Row],[h_m]]*0.45</f>
        <v>0.10333641442731606</v>
      </c>
    </row>
    <row r="1287" spans="1:6" x14ac:dyDescent="0.3">
      <c r="A1287" s="37">
        <v>13</v>
      </c>
      <c r="B1287" s="37">
        <v>86</v>
      </c>
      <c r="C1287" s="55">
        <v>19.71</v>
      </c>
      <c r="D1287" s="55">
        <v>15.18</v>
      </c>
      <c r="E1287" s="56">
        <f>(PI()*(Pinus[[#This Row],[d_cm]]^2))/40000</f>
        <v>3.0511469864911066E-2</v>
      </c>
      <c r="F1287" s="56">
        <f>Pinus[[#This Row],[gi_m²]]*Pinus[[#This Row],[h_m]]*0.45</f>
        <v>0.2084238506472075</v>
      </c>
    </row>
    <row r="1288" spans="1:6" x14ac:dyDescent="0.3">
      <c r="A1288" s="37">
        <v>13</v>
      </c>
      <c r="B1288" s="37">
        <v>87</v>
      </c>
      <c r="C1288" s="55">
        <v>18.940000000000001</v>
      </c>
      <c r="D1288" s="55">
        <v>15.01</v>
      </c>
      <c r="E1288" s="56">
        <f>(PI()*(Pinus[[#This Row],[d_cm]]^2))/40000</f>
        <v>2.8174085660732089E-2</v>
      </c>
      <c r="F1288" s="56">
        <f>Pinus[[#This Row],[gi_m²]]*Pinus[[#This Row],[h_m]]*0.45</f>
        <v>0.1903018615954149</v>
      </c>
    </row>
    <row r="1289" spans="1:6" x14ac:dyDescent="0.3">
      <c r="A1289" s="37">
        <v>13</v>
      </c>
      <c r="B1289" s="37">
        <v>88</v>
      </c>
      <c r="C1289" s="55">
        <v>15.2</v>
      </c>
      <c r="D1289" s="55">
        <v>14.03</v>
      </c>
      <c r="E1289" s="56">
        <f>(PI()*(Pinus[[#This Row],[d_cm]]^2))/40000</f>
        <v>1.8145839167134643E-2</v>
      </c>
      <c r="F1289" s="56">
        <f>Pinus[[#This Row],[gi_m²]]*Pinus[[#This Row],[h_m]]*0.45</f>
        <v>0.11456375558170456</v>
      </c>
    </row>
    <row r="1290" spans="1:6" x14ac:dyDescent="0.3">
      <c r="A1290" s="37">
        <v>13</v>
      </c>
      <c r="B1290" s="37">
        <v>89</v>
      </c>
      <c r="C1290" s="55">
        <v>12.03</v>
      </c>
      <c r="D1290" s="55">
        <v>12.99</v>
      </c>
      <c r="E1290" s="56">
        <f>(PI()*(Pinus[[#This Row],[d_cm]]^2))/40000</f>
        <v>1.1366352906522574E-2</v>
      </c>
      <c r="F1290" s="56">
        <f>Pinus[[#This Row],[gi_m²]]*Pinus[[#This Row],[h_m]]*0.45</f>
        <v>6.6442015915077701E-2</v>
      </c>
    </row>
    <row r="1291" spans="1:6" x14ac:dyDescent="0.3">
      <c r="A1291" s="37">
        <v>13</v>
      </c>
      <c r="B1291" s="37">
        <v>90</v>
      </c>
      <c r="C1291" s="55">
        <v>18.579999999999998</v>
      </c>
      <c r="D1291" s="55">
        <v>14.92</v>
      </c>
      <c r="E1291" s="56">
        <f>(PI()*(Pinus[[#This Row],[d_cm]]^2))/40000</f>
        <v>2.7113232653467885E-2</v>
      </c>
      <c r="F1291" s="56">
        <f>Pinus[[#This Row],[gi_m²]]*Pinus[[#This Row],[h_m]]*0.45</f>
        <v>0.18203824403538338</v>
      </c>
    </row>
    <row r="1292" spans="1:6" x14ac:dyDescent="0.3">
      <c r="A1292" s="37">
        <v>13</v>
      </c>
      <c r="B1292" s="37">
        <v>91</v>
      </c>
      <c r="C1292" s="55">
        <v>22.61</v>
      </c>
      <c r="D1292" s="55">
        <v>15.79</v>
      </c>
      <c r="E1292" s="56">
        <f>(PI()*(Pinus[[#This Row],[d_cm]]^2))/40000</f>
        <v>4.0150504444655261E-2</v>
      </c>
      <c r="F1292" s="56">
        <f>Pinus[[#This Row],[gi_m²]]*Pinus[[#This Row],[h_m]]*0.45</f>
        <v>0.28528940933149793</v>
      </c>
    </row>
    <row r="1293" spans="1:6" x14ac:dyDescent="0.3">
      <c r="A1293" s="37">
        <v>13</v>
      </c>
      <c r="B1293" s="37">
        <v>92</v>
      </c>
      <c r="C1293" s="55">
        <v>27.09</v>
      </c>
      <c r="D1293" s="55">
        <v>16.600000000000001</v>
      </c>
      <c r="E1293" s="56">
        <f>(PI()*(Pinus[[#This Row],[d_cm]]^2))/40000</f>
        <v>5.7637865791597492E-2</v>
      </c>
      <c r="F1293" s="56">
        <f>Pinus[[#This Row],[gi_m²]]*Pinus[[#This Row],[h_m]]*0.45</f>
        <v>0.43055485746323335</v>
      </c>
    </row>
    <row r="1294" spans="1:6" x14ac:dyDescent="0.3">
      <c r="A1294" s="37">
        <v>13</v>
      </c>
      <c r="B1294" s="37">
        <v>93</v>
      </c>
      <c r="C1294" s="55">
        <v>19.850000000000001</v>
      </c>
      <c r="D1294" s="55">
        <v>15.21</v>
      </c>
      <c r="E1294" s="56">
        <f>(PI()*(Pinus[[#This Row],[d_cm]]^2))/40000</f>
        <v>3.0946454783727109E-2</v>
      </c>
      <c r="F1294" s="56">
        <f>Pinus[[#This Row],[gi_m²]]*Pinus[[#This Row],[h_m]]*0.45</f>
        <v>0.21181300976722023</v>
      </c>
    </row>
    <row r="1295" spans="1:6" x14ac:dyDescent="0.3">
      <c r="A1295" s="37">
        <v>13</v>
      </c>
      <c r="B1295" s="37">
        <v>94</v>
      </c>
      <c r="C1295" s="55">
        <v>25.97</v>
      </c>
      <c r="D1295" s="55">
        <v>16.41</v>
      </c>
      <c r="E1295" s="56">
        <f>(PI()*(Pinus[[#This Row],[d_cm]]^2))/40000</f>
        <v>5.2970464418012203E-2</v>
      </c>
      <c r="F1295" s="56">
        <f>Pinus[[#This Row],[gi_m²]]*Pinus[[#This Row],[h_m]]*0.45</f>
        <v>0.39116039449481116</v>
      </c>
    </row>
    <row r="1296" spans="1:6" x14ac:dyDescent="0.3">
      <c r="A1296" s="37">
        <v>13</v>
      </c>
      <c r="B1296" s="37">
        <v>95</v>
      </c>
      <c r="C1296" s="55">
        <v>20.329999999999998</v>
      </c>
      <c r="D1296" s="55">
        <v>15.32</v>
      </c>
      <c r="E1296" s="56">
        <f>(PI()*(Pinus[[#This Row],[d_cm]]^2))/40000</f>
        <v>3.2461205097581956E-2</v>
      </c>
      <c r="F1296" s="56">
        <f>Pinus[[#This Row],[gi_m²]]*Pinus[[#This Row],[h_m]]*0.45</f>
        <v>0.22378754794273001</v>
      </c>
    </row>
    <row r="1297" spans="1:6" x14ac:dyDescent="0.3">
      <c r="A1297" s="37">
        <v>13</v>
      </c>
      <c r="B1297" s="37">
        <v>96</v>
      </c>
      <c r="C1297" s="55">
        <v>20.46</v>
      </c>
      <c r="D1297" s="55">
        <v>15.35</v>
      </c>
      <c r="E1297" s="56">
        <f>(PI()*(Pinus[[#This Row],[d_cm]]^2))/40000</f>
        <v>3.2877678181686722E-2</v>
      </c>
      <c r="F1297" s="56">
        <f>Pinus[[#This Row],[gi_m²]]*Pinus[[#This Row],[h_m]]*0.45</f>
        <v>0.22710256204000104</v>
      </c>
    </row>
    <row r="1298" spans="1:6" x14ac:dyDescent="0.3">
      <c r="A1298" s="37">
        <v>13</v>
      </c>
      <c r="B1298" s="37">
        <v>97</v>
      </c>
      <c r="C1298" s="55">
        <v>21.3</v>
      </c>
      <c r="D1298" s="55">
        <v>15.53</v>
      </c>
      <c r="E1298" s="56">
        <f>(PI()*(Pinus[[#This Row],[d_cm]]^2))/40000</f>
        <v>3.563272927517884E-2</v>
      </c>
      <c r="F1298" s="56">
        <f>Pinus[[#This Row],[gi_m²]]*Pinus[[#This Row],[h_m]]*0.45</f>
        <v>0.24901932853958733</v>
      </c>
    </row>
    <row r="1299" spans="1:6" x14ac:dyDescent="0.3">
      <c r="A1299" s="37">
        <v>13</v>
      </c>
      <c r="B1299" s="37">
        <v>98</v>
      </c>
      <c r="C1299" s="55">
        <v>16.52</v>
      </c>
      <c r="D1299" s="55">
        <v>14.4</v>
      </c>
      <c r="E1299" s="56">
        <f>(PI()*(Pinus[[#This Row],[d_cm]]^2))/40000</f>
        <v>2.1434332693206295E-2</v>
      </c>
      <c r="F1299" s="56">
        <f>Pinus[[#This Row],[gi_m²]]*Pinus[[#This Row],[h_m]]*0.45</f>
        <v>0.13889447585197681</v>
      </c>
    </row>
    <row r="1300" spans="1:6" x14ac:dyDescent="0.3">
      <c r="A1300" s="37">
        <v>13</v>
      </c>
      <c r="B1300" s="37">
        <v>99</v>
      </c>
      <c r="C1300" s="55">
        <v>19.79</v>
      </c>
      <c r="D1300" s="55">
        <v>15.2</v>
      </c>
      <c r="E1300" s="56">
        <f>(PI()*(Pinus[[#This Row],[d_cm]]^2))/40000</f>
        <v>3.0759655684544657E-2</v>
      </c>
      <c r="F1300" s="56">
        <f>Pinus[[#This Row],[gi_m²]]*Pinus[[#This Row],[h_m]]*0.45</f>
        <v>0.21039604488228544</v>
      </c>
    </row>
    <row r="1301" spans="1:6" x14ac:dyDescent="0.3">
      <c r="A1301" s="37">
        <v>13</v>
      </c>
      <c r="B1301" s="37">
        <v>100</v>
      </c>
      <c r="C1301" s="55">
        <v>23.63</v>
      </c>
      <c r="D1301" s="55">
        <v>15.99</v>
      </c>
      <c r="E1301" s="56">
        <f>(PI()*(Pinus[[#This Row],[d_cm]]^2))/40000</f>
        <v>4.3854819174356061E-2</v>
      </c>
      <c r="F1301" s="56">
        <f>Pinus[[#This Row],[gi_m²]]*Pinus[[#This Row],[h_m]]*0.45</f>
        <v>0.31555735136907903</v>
      </c>
    </row>
    <row r="1302" spans="1:6" x14ac:dyDescent="0.3">
      <c r="A1302" s="37">
        <v>14</v>
      </c>
      <c r="B1302" s="37">
        <v>1</v>
      </c>
      <c r="C1302" s="55">
        <v>17</v>
      </c>
      <c r="D1302" s="55">
        <v>15.49</v>
      </c>
      <c r="E1302" s="56">
        <f>(PI()*(Pinus[[#This Row],[d_cm]]^2))/40000</f>
        <v>2.2698006922186254E-2</v>
      </c>
      <c r="F1302" s="56">
        <f>Pinus[[#This Row],[gi_m²]]*Pinus[[#This Row],[h_m]]*0.45</f>
        <v>0.15821645725109929</v>
      </c>
    </row>
    <row r="1303" spans="1:6" x14ac:dyDescent="0.3">
      <c r="A1303" s="37">
        <v>14</v>
      </c>
      <c r="B1303" s="37">
        <v>2</v>
      </c>
      <c r="C1303" s="55">
        <v>18.71</v>
      </c>
      <c r="D1303" s="55">
        <v>15.94</v>
      </c>
      <c r="E1303" s="56">
        <f>(PI()*(Pinus[[#This Row],[d_cm]]^2))/40000</f>
        <v>2.7493970121138075E-2</v>
      </c>
      <c r="F1303" s="56">
        <f>Pinus[[#This Row],[gi_m²]]*Pinus[[#This Row],[h_m]]*0.45</f>
        <v>0.1972142476789234</v>
      </c>
    </row>
    <row r="1304" spans="1:6" x14ac:dyDescent="0.3">
      <c r="A1304" s="37">
        <v>14</v>
      </c>
      <c r="B1304" s="37">
        <v>3</v>
      </c>
      <c r="C1304" s="55">
        <v>15.41</v>
      </c>
      <c r="D1304" s="55">
        <v>15.02</v>
      </c>
      <c r="E1304" s="56">
        <f>(PI()*(Pinus[[#This Row],[d_cm]]^2))/40000</f>
        <v>1.8650700960548158E-2</v>
      </c>
      <c r="F1304" s="56">
        <f>Pinus[[#This Row],[gi_m²]]*Pinus[[#This Row],[h_m]]*0.45</f>
        <v>0.12606008779234501</v>
      </c>
    </row>
    <row r="1305" spans="1:6" x14ac:dyDescent="0.3">
      <c r="A1305" s="37">
        <v>14</v>
      </c>
      <c r="B1305" s="37">
        <v>4</v>
      </c>
      <c r="C1305" s="55">
        <v>21.42</v>
      </c>
      <c r="D1305" s="55">
        <v>16.579999999999998</v>
      </c>
      <c r="E1305" s="56">
        <f>(PI()*(Pinus[[#This Row],[d_cm]]^2))/40000</f>
        <v>3.603535578966291E-2</v>
      </c>
      <c r="F1305" s="56">
        <f>Pinus[[#This Row],[gi_m²]]*Pinus[[#This Row],[h_m]]*0.45</f>
        <v>0.26885978954667494</v>
      </c>
    </row>
    <row r="1306" spans="1:6" x14ac:dyDescent="0.3">
      <c r="A1306" s="37">
        <v>14</v>
      </c>
      <c r="B1306" s="37">
        <v>5</v>
      </c>
      <c r="C1306" s="55">
        <v>21.7</v>
      </c>
      <c r="D1306" s="55">
        <v>16.64</v>
      </c>
      <c r="E1306" s="56">
        <f>(PI()*(Pinus[[#This Row],[d_cm]]^2))/40000</f>
        <v>3.6983614116222439E-2</v>
      </c>
      <c r="F1306" s="56">
        <f>Pinus[[#This Row],[gi_m²]]*Pinus[[#This Row],[h_m]]*0.45</f>
        <v>0.27693330250227366</v>
      </c>
    </row>
    <row r="1307" spans="1:6" x14ac:dyDescent="0.3">
      <c r="A1307" s="37">
        <v>14</v>
      </c>
      <c r="B1307" s="37">
        <v>6</v>
      </c>
      <c r="C1307" s="55">
        <v>22.59</v>
      </c>
      <c r="D1307" s="55">
        <v>16.84</v>
      </c>
      <c r="E1307" s="56">
        <f>(PI()*(Pinus[[#This Row],[d_cm]]^2))/40000</f>
        <v>4.0079504450684138E-2</v>
      </c>
      <c r="F1307" s="56">
        <f>Pinus[[#This Row],[gi_m²]]*Pinus[[#This Row],[h_m]]*0.45</f>
        <v>0.30372248472728441</v>
      </c>
    </row>
    <row r="1308" spans="1:6" x14ac:dyDescent="0.3">
      <c r="A1308" s="37">
        <v>14</v>
      </c>
      <c r="B1308" s="37">
        <v>7</v>
      </c>
      <c r="C1308" s="55">
        <v>15.12</v>
      </c>
      <c r="D1308" s="55">
        <v>14.93</v>
      </c>
      <c r="E1308" s="56">
        <f>(PI()*(Pinus[[#This Row],[d_cm]]^2))/40000</f>
        <v>1.7955332988620957E-2</v>
      </c>
      <c r="F1308" s="56">
        <f>Pinus[[#This Row],[gi_m²]]*Pinus[[#This Row],[h_m]]*0.45</f>
        <v>0.1206329046840499</v>
      </c>
    </row>
    <row r="1309" spans="1:6" x14ac:dyDescent="0.3">
      <c r="A1309" s="37">
        <v>14</v>
      </c>
      <c r="B1309" s="37">
        <v>8</v>
      </c>
      <c r="C1309" s="55">
        <v>20.43</v>
      </c>
      <c r="D1309" s="55">
        <v>16.36</v>
      </c>
      <c r="E1309" s="56">
        <f>(PI()*(Pinus[[#This Row],[d_cm]]^2))/40000</f>
        <v>3.2781333388982759E-2</v>
      </c>
      <c r="F1309" s="56">
        <f>Pinus[[#This Row],[gi_m²]]*Pinus[[#This Row],[h_m]]*0.45</f>
        <v>0.24133617640969107</v>
      </c>
    </row>
    <row r="1310" spans="1:6" x14ac:dyDescent="0.3">
      <c r="A1310" s="37">
        <v>14</v>
      </c>
      <c r="B1310" s="37">
        <v>9</v>
      </c>
      <c r="C1310" s="55">
        <v>16.22</v>
      </c>
      <c r="D1310" s="55">
        <v>15.27</v>
      </c>
      <c r="E1310" s="56">
        <f>(PI()*(Pinus[[#This Row],[d_cm]]^2))/40000</f>
        <v>2.066291461711732E-2</v>
      </c>
      <c r="F1310" s="56">
        <f>Pinus[[#This Row],[gi_m²]]*Pinus[[#This Row],[h_m]]*0.45</f>
        <v>0.14198521779152165</v>
      </c>
    </row>
    <row r="1311" spans="1:6" x14ac:dyDescent="0.3">
      <c r="A1311" s="37">
        <v>14</v>
      </c>
      <c r="B1311" s="37">
        <v>10</v>
      </c>
      <c r="C1311" s="55">
        <v>20</v>
      </c>
      <c r="D1311" s="55">
        <v>16.260000000000002</v>
      </c>
      <c r="E1311" s="56">
        <f>(PI()*(Pinus[[#This Row],[d_cm]]^2))/40000</f>
        <v>3.1415926535897934E-2</v>
      </c>
      <c r="F1311" s="56">
        <f>Pinus[[#This Row],[gi_m²]]*Pinus[[#This Row],[h_m]]*0.45</f>
        <v>0.22987033446316521</v>
      </c>
    </row>
    <row r="1312" spans="1:6" x14ac:dyDescent="0.3">
      <c r="A1312" s="37">
        <v>14</v>
      </c>
      <c r="B1312" s="37">
        <v>11</v>
      </c>
      <c r="C1312" s="55">
        <v>25.37</v>
      </c>
      <c r="D1312" s="55">
        <v>17.39</v>
      </c>
      <c r="E1312" s="56">
        <f>(PI()*(Pinus[[#This Row],[d_cm]]^2))/40000</f>
        <v>5.0551123915482714E-2</v>
      </c>
      <c r="F1312" s="56">
        <f>Pinus[[#This Row],[gi_m²]]*Pinus[[#This Row],[h_m]]*0.45</f>
        <v>0.39558782020061001</v>
      </c>
    </row>
    <row r="1313" spans="1:6" x14ac:dyDescent="0.3">
      <c r="A1313" s="37">
        <v>14</v>
      </c>
      <c r="B1313" s="37">
        <v>12</v>
      </c>
      <c r="C1313" s="55">
        <v>17.989999999999998</v>
      </c>
      <c r="D1313" s="55">
        <v>15.76</v>
      </c>
      <c r="E1313" s="56">
        <f>(PI()*(Pinus[[#This Row],[d_cm]]^2))/40000</f>
        <v>2.5418634014176645E-2</v>
      </c>
      <c r="F1313" s="56">
        <f>Pinus[[#This Row],[gi_m²]]*Pinus[[#This Row],[h_m]]*0.45</f>
        <v>0.18026895242854077</v>
      </c>
    </row>
    <row r="1314" spans="1:6" x14ac:dyDescent="0.3">
      <c r="A1314" s="37">
        <v>14</v>
      </c>
      <c r="B1314" s="37">
        <v>13</v>
      </c>
      <c r="C1314" s="55">
        <v>22.87</v>
      </c>
      <c r="D1314" s="55">
        <v>16.89</v>
      </c>
      <c r="E1314" s="56">
        <f>(PI()*(Pinus[[#This Row],[d_cm]]^2))/40000</f>
        <v>4.1079222064909486E-2</v>
      </c>
      <c r="F1314" s="56">
        <f>Pinus[[#This Row],[gi_m²]]*Pinus[[#This Row],[h_m]]*0.45</f>
        <v>0.31222262730434452</v>
      </c>
    </row>
    <row r="1315" spans="1:6" x14ac:dyDescent="0.3">
      <c r="A1315" s="37">
        <v>14</v>
      </c>
      <c r="B1315" s="37">
        <v>14</v>
      </c>
      <c r="C1315" s="55">
        <v>17</v>
      </c>
      <c r="D1315" s="55">
        <v>15.49</v>
      </c>
      <c r="E1315" s="56">
        <f>(PI()*(Pinus[[#This Row],[d_cm]]^2))/40000</f>
        <v>2.2698006922186254E-2</v>
      </c>
      <c r="F1315" s="56">
        <f>Pinus[[#This Row],[gi_m²]]*Pinus[[#This Row],[h_m]]*0.45</f>
        <v>0.15821645725109929</v>
      </c>
    </row>
    <row r="1316" spans="1:6" x14ac:dyDescent="0.3">
      <c r="A1316" s="37">
        <v>14</v>
      </c>
      <c r="B1316" s="37">
        <v>15</v>
      </c>
      <c r="C1316" s="55">
        <v>18.09</v>
      </c>
      <c r="D1316" s="55">
        <v>15.78</v>
      </c>
      <c r="E1316" s="56">
        <f>(PI()*(Pinus[[#This Row],[d_cm]]^2))/40000</f>
        <v>2.5702005671530453E-2</v>
      </c>
      <c r="F1316" s="56">
        <f>Pinus[[#This Row],[gi_m²]]*Pinus[[#This Row],[h_m]]*0.45</f>
        <v>0.18250994227353773</v>
      </c>
    </row>
    <row r="1317" spans="1:6" x14ac:dyDescent="0.3">
      <c r="A1317" s="37">
        <v>14</v>
      </c>
      <c r="B1317" s="37">
        <v>16</v>
      </c>
      <c r="C1317" s="55">
        <v>21.75</v>
      </c>
      <c r="D1317" s="55">
        <v>16.66</v>
      </c>
      <c r="E1317" s="56">
        <f>(PI()*(Pinus[[#This Row],[d_cm]]^2))/40000</f>
        <v>3.7154241867220536E-2</v>
      </c>
      <c r="F1317" s="56">
        <f>Pinus[[#This Row],[gi_m²]]*Pinus[[#This Row],[h_m]]*0.45</f>
        <v>0.27854535127855234</v>
      </c>
    </row>
    <row r="1318" spans="1:6" x14ac:dyDescent="0.3">
      <c r="A1318" s="37">
        <v>14</v>
      </c>
      <c r="B1318" s="37">
        <v>17</v>
      </c>
      <c r="C1318" s="55">
        <v>17.28</v>
      </c>
      <c r="D1318" s="55">
        <v>15.57</v>
      </c>
      <c r="E1318" s="56">
        <f>(PI()*(Pinus[[#This Row],[d_cm]]^2))/40000</f>
        <v>2.3451863495341663E-2</v>
      </c>
      <c r="F1318" s="56">
        <f>Pinus[[#This Row],[gi_m²]]*Pinus[[#This Row],[h_m]]*0.45</f>
        <v>0.16431548158011136</v>
      </c>
    </row>
    <row r="1319" spans="1:6" x14ac:dyDescent="0.3">
      <c r="A1319" s="37">
        <v>14</v>
      </c>
      <c r="B1319" s="37">
        <v>18</v>
      </c>
      <c r="C1319" s="55">
        <v>13.19</v>
      </c>
      <c r="D1319" s="55">
        <v>14.28</v>
      </c>
      <c r="E1319" s="56">
        <f>(PI()*(Pinus[[#This Row],[d_cm]]^2))/40000</f>
        <v>1.3664050941505079E-2</v>
      </c>
      <c r="F1319" s="56">
        <f>Pinus[[#This Row],[gi_m²]]*Pinus[[#This Row],[h_m]]*0.45</f>
        <v>8.7805191350111639E-2</v>
      </c>
    </row>
    <row r="1320" spans="1:6" x14ac:dyDescent="0.3">
      <c r="A1320" s="37">
        <v>14</v>
      </c>
      <c r="B1320" s="37">
        <v>19</v>
      </c>
      <c r="C1320" s="55">
        <v>25.06</v>
      </c>
      <c r="D1320" s="55">
        <v>17.329999999999998</v>
      </c>
      <c r="E1320" s="56">
        <f>(PI()*(Pinus[[#This Row],[d_cm]]^2))/40000</f>
        <v>4.9323287404698567E-2</v>
      </c>
      <c r="F1320" s="56">
        <f>Pinus[[#This Row],[gi_m²]]*Pinus[[#This Row],[h_m]]*0.45</f>
        <v>0.38464765682554175</v>
      </c>
    </row>
    <row r="1321" spans="1:6" x14ac:dyDescent="0.3">
      <c r="A1321" s="37">
        <v>14</v>
      </c>
      <c r="B1321" s="37">
        <v>20</v>
      </c>
      <c r="C1321" s="55">
        <v>21.44</v>
      </c>
      <c r="D1321" s="55">
        <v>16.59</v>
      </c>
      <c r="E1321" s="56">
        <f>(PI()*(Pinus[[#This Row],[d_cm]]^2))/40000</f>
        <v>3.6102680120229338E-2</v>
      </c>
      <c r="F1321" s="56">
        <f>Pinus[[#This Row],[gi_m²]]*Pinus[[#This Row],[h_m]]*0.45</f>
        <v>0.26952455843757211</v>
      </c>
    </row>
    <row r="1322" spans="1:6" x14ac:dyDescent="0.3">
      <c r="A1322" s="37">
        <v>14</v>
      </c>
      <c r="B1322" s="37">
        <v>21</v>
      </c>
      <c r="C1322" s="55">
        <v>17.670000000000002</v>
      </c>
      <c r="D1322" s="55">
        <v>15.67</v>
      </c>
      <c r="E1322" s="56">
        <f>(PI()*(Pinus[[#This Row],[d_cm]]^2))/40000</f>
        <v>2.4522400461960556E-2</v>
      </c>
      <c r="F1322" s="56">
        <f>Pinus[[#This Row],[gi_m²]]*Pinus[[#This Row],[h_m]]*0.45</f>
        <v>0.17291970685751487</v>
      </c>
    </row>
    <row r="1323" spans="1:6" x14ac:dyDescent="0.3">
      <c r="A1323" s="37">
        <v>14</v>
      </c>
      <c r="B1323" s="37">
        <v>22</v>
      </c>
      <c r="C1323" s="55">
        <v>12.02</v>
      </c>
      <c r="D1323" s="55">
        <v>13.85</v>
      </c>
      <c r="E1323" s="56">
        <f>(PI()*(Pinus[[#This Row],[d_cm]]^2))/40000</f>
        <v>1.1347464080692869E-2</v>
      </c>
      <c r="F1323" s="56">
        <f>Pinus[[#This Row],[gi_m²]]*Pinus[[#This Row],[h_m]]*0.45</f>
        <v>7.0723069882918307E-2</v>
      </c>
    </row>
    <row r="1324" spans="1:6" x14ac:dyDescent="0.3">
      <c r="A1324" s="37">
        <v>14</v>
      </c>
      <c r="B1324" s="37">
        <v>23</v>
      </c>
      <c r="C1324" s="55">
        <v>27.61</v>
      </c>
      <c r="D1324" s="55">
        <v>17.79</v>
      </c>
      <c r="E1324" s="56">
        <f>(PI()*(Pinus[[#This Row],[d_cm]]^2))/40000</f>
        <v>5.9871852327565193E-2</v>
      </c>
      <c r="F1324" s="56">
        <f>Pinus[[#This Row],[gi_m²]]*Pinus[[#This Row],[h_m]]*0.45</f>
        <v>0.47930411380832311</v>
      </c>
    </row>
    <row r="1325" spans="1:6" x14ac:dyDescent="0.3">
      <c r="A1325" s="37">
        <v>14</v>
      </c>
      <c r="B1325" s="37">
        <v>24</v>
      </c>
      <c r="C1325" s="55">
        <v>33.56</v>
      </c>
      <c r="D1325" s="55">
        <v>18.71</v>
      </c>
      <c r="E1325" s="56">
        <f>(PI()*(Pinus[[#This Row],[d_cm]]^2))/40000</f>
        <v>8.8457321692303248E-2</v>
      </c>
      <c r="F1325" s="56">
        <f>Pinus[[#This Row],[gi_m²]]*Pinus[[#This Row],[h_m]]*0.45</f>
        <v>0.74476641998834725</v>
      </c>
    </row>
    <row r="1326" spans="1:6" x14ac:dyDescent="0.3">
      <c r="A1326" s="37">
        <v>14</v>
      </c>
      <c r="B1326" s="37">
        <v>25</v>
      </c>
      <c r="C1326" s="55">
        <v>20.83</v>
      </c>
      <c r="D1326" s="55">
        <v>16.45</v>
      </c>
      <c r="E1326" s="56">
        <f>(PI()*(Pinus[[#This Row],[d_cm]]^2))/40000</f>
        <v>3.4077554517853909E-2</v>
      </c>
      <c r="F1326" s="56">
        <f>Pinus[[#This Row],[gi_m²]]*Pinus[[#This Row],[h_m]]*0.45</f>
        <v>0.25225909731841356</v>
      </c>
    </row>
    <row r="1327" spans="1:6" x14ac:dyDescent="0.3">
      <c r="A1327" s="37">
        <v>14</v>
      </c>
      <c r="B1327" s="37">
        <v>26</v>
      </c>
      <c r="C1327" s="55">
        <v>23.4</v>
      </c>
      <c r="D1327" s="55">
        <v>17</v>
      </c>
      <c r="E1327" s="56">
        <f>(PI()*(Pinus[[#This Row],[d_cm]]^2))/40000</f>
        <v>4.300526183499067E-2</v>
      </c>
      <c r="F1327" s="56">
        <f>Pinus[[#This Row],[gi_m²]]*Pinus[[#This Row],[h_m]]*0.45</f>
        <v>0.32899025303767865</v>
      </c>
    </row>
    <row r="1328" spans="1:6" x14ac:dyDescent="0.3">
      <c r="A1328" s="37">
        <v>14</v>
      </c>
      <c r="B1328" s="37">
        <v>27</v>
      </c>
      <c r="C1328" s="55">
        <v>24.9</v>
      </c>
      <c r="D1328" s="55">
        <v>17.3</v>
      </c>
      <c r="E1328" s="56">
        <f>(PI()*(Pinus[[#This Row],[d_cm]]^2))/40000</f>
        <v>4.8695471528805184E-2</v>
      </c>
      <c r="F1328" s="56">
        <f>Pinus[[#This Row],[gi_m²]]*Pinus[[#This Row],[h_m]]*0.45</f>
        <v>0.37909424585174839</v>
      </c>
    </row>
    <row r="1329" spans="1:6" x14ac:dyDescent="0.3">
      <c r="A1329" s="37">
        <v>14</v>
      </c>
      <c r="B1329" s="37">
        <v>28</v>
      </c>
      <c r="C1329" s="55">
        <v>17.190000000000001</v>
      </c>
      <c r="D1329" s="55">
        <v>15.54</v>
      </c>
      <c r="E1329" s="56">
        <f>(PI()*(Pinus[[#This Row],[d_cm]]^2))/40000</f>
        <v>2.3208209423110877E-2</v>
      </c>
      <c r="F1329" s="56">
        <f>Pinus[[#This Row],[gi_m²]]*Pinus[[#This Row],[h_m]]*0.45</f>
        <v>0.16229500849581435</v>
      </c>
    </row>
    <row r="1330" spans="1:6" x14ac:dyDescent="0.3">
      <c r="A1330" s="37">
        <v>14</v>
      </c>
      <c r="B1330" s="37">
        <v>29</v>
      </c>
      <c r="C1330" s="55">
        <v>18.600000000000001</v>
      </c>
      <c r="D1330" s="55">
        <v>15.91</v>
      </c>
      <c r="E1330" s="56">
        <f>(PI()*(Pinus[[#This Row],[d_cm]]^2))/40000</f>
        <v>2.717163486089812E-2</v>
      </c>
      <c r="F1330" s="56">
        <f>Pinus[[#This Row],[gi_m²]]*Pinus[[#This Row],[h_m]]*0.45</f>
        <v>0.19453531978660007</v>
      </c>
    </row>
    <row r="1331" spans="1:6" x14ac:dyDescent="0.3">
      <c r="A1331" s="37">
        <v>14</v>
      </c>
      <c r="B1331" s="37">
        <v>30</v>
      </c>
      <c r="C1331" s="55">
        <v>13.09</v>
      </c>
      <c r="D1331" s="55">
        <v>14.25</v>
      </c>
      <c r="E1331" s="56">
        <f>(PI()*(Pinus[[#This Row],[d_cm]]^2))/40000</f>
        <v>1.3457648304164229E-2</v>
      </c>
      <c r="F1331" s="56">
        <f>Pinus[[#This Row],[gi_m²]]*Pinus[[#This Row],[h_m]]*0.45</f>
        <v>8.6297169750453123E-2</v>
      </c>
    </row>
    <row r="1332" spans="1:6" x14ac:dyDescent="0.3">
      <c r="A1332" s="37">
        <v>14</v>
      </c>
      <c r="B1332" s="37">
        <v>31</v>
      </c>
      <c r="C1332" s="55">
        <v>17.05</v>
      </c>
      <c r="D1332" s="55">
        <v>15.5</v>
      </c>
      <c r="E1332" s="56">
        <f>(PI()*(Pinus[[#This Row],[d_cm]]^2))/40000</f>
        <v>2.2831720959504673E-2</v>
      </c>
      <c r="F1332" s="56">
        <f>Pinus[[#This Row],[gi_m²]]*Pinus[[#This Row],[h_m]]*0.45</f>
        <v>0.15925125369254509</v>
      </c>
    </row>
    <row r="1333" spans="1:6" x14ac:dyDescent="0.3">
      <c r="A1333" s="37">
        <v>14</v>
      </c>
      <c r="B1333" s="37">
        <v>32</v>
      </c>
      <c r="C1333" s="55">
        <v>22.49</v>
      </c>
      <c r="D1333" s="55">
        <v>16.809999999999999</v>
      </c>
      <c r="E1333" s="56">
        <f>(PI()*(Pinus[[#This Row],[d_cm]]^2))/40000</f>
        <v>3.9725446958624566E-2</v>
      </c>
      <c r="F1333" s="56">
        <f>Pinus[[#This Row],[gi_m²]]*Pinus[[#This Row],[h_m]]*0.45</f>
        <v>0.30050314351851554</v>
      </c>
    </row>
    <row r="1334" spans="1:6" x14ac:dyDescent="0.3">
      <c r="A1334" s="37">
        <v>14</v>
      </c>
      <c r="B1334" s="37">
        <v>33</v>
      </c>
      <c r="C1334" s="55">
        <v>18.84</v>
      </c>
      <c r="D1334" s="55">
        <v>15.97</v>
      </c>
      <c r="E1334" s="56">
        <f>(PI()*(Pinus[[#This Row],[d_cm]]^2))/40000</f>
        <v>2.7877362234600533E-2</v>
      </c>
      <c r="F1334" s="56">
        <f>Pinus[[#This Row],[gi_m²]]*Pinus[[#This Row],[h_m]]*0.45</f>
        <v>0.20034066369895673</v>
      </c>
    </row>
    <row r="1335" spans="1:6" x14ac:dyDescent="0.3">
      <c r="A1335" s="37">
        <v>14</v>
      </c>
      <c r="B1335" s="37">
        <v>34</v>
      </c>
      <c r="C1335" s="55">
        <v>19.14</v>
      </c>
      <c r="D1335" s="55">
        <v>16.05</v>
      </c>
      <c r="E1335" s="56">
        <f>(PI()*(Pinus[[#This Row],[d_cm]]^2))/40000</f>
        <v>2.8772244901975587E-2</v>
      </c>
      <c r="F1335" s="56">
        <f>Pinus[[#This Row],[gi_m²]]*Pinus[[#This Row],[h_m]]*0.45</f>
        <v>0.20780753880451869</v>
      </c>
    </row>
    <row r="1336" spans="1:6" x14ac:dyDescent="0.3">
      <c r="A1336" s="37">
        <v>14</v>
      </c>
      <c r="B1336" s="37">
        <v>35</v>
      </c>
      <c r="C1336" s="55">
        <v>19.55</v>
      </c>
      <c r="D1336" s="55">
        <v>16.149999999999999</v>
      </c>
      <c r="E1336" s="56">
        <f>(PI()*(Pinus[[#This Row],[d_cm]]^2))/40000</f>
        <v>3.0018114154591324E-2</v>
      </c>
      <c r="F1336" s="56">
        <f>Pinus[[#This Row],[gi_m²]]*Pinus[[#This Row],[h_m]]*0.45</f>
        <v>0.21815664461849243</v>
      </c>
    </row>
    <row r="1337" spans="1:6" x14ac:dyDescent="0.3">
      <c r="A1337" s="37">
        <v>14</v>
      </c>
      <c r="B1337" s="37">
        <v>36</v>
      </c>
      <c r="C1337" s="55">
        <v>12.55</v>
      </c>
      <c r="D1337" s="55">
        <v>14.05</v>
      </c>
      <c r="E1337" s="56">
        <f>(PI()*(Pinus[[#This Row],[d_cm]]^2))/40000</f>
        <v>1.2370217423050662E-2</v>
      </c>
      <c r="F1337" s="56">
        <f>Pinus[[#This Row],[gi_m²]]*Pinus[[#This Row],[h_m]]*0.45</f>
        <v>7.8210699657237814E-2</v>
      </c>
    </row>
    <row r="1338" spans="1:6" x14ac:dyDescent="0.3">
      <c r="A1338" s="37">
        <v>14</v>
      </c>
      <c r="B1338" s="37">
        <v>37</v>
      </c>
      <c r="C1338" s="55">
        <v>23.35</v>
      </c>
      <c r="D1338" s="55">
        <v>16.989999999999998</v>
      </c>
      <c r="E1338" s="56">
        <f>(PI()*(Pinus[[#This Row],[d_cm]]^2))/40000</f>
        <v>4.2821675014296526E-2</v>
      </c>
      <c r="F1338" s="56">
        <f>Pinus[[#This Row],[gi_m²]]*Pinus[[#This Row],[h_m]]*0.45</f>
        <v>0.32739311632180407</v>
      </c>
    </row>
    <row r="1339" spans="1:6" x14ac:dyDescent="0.3">
      <c r="A1339" s="37">
        <v>14</v>
      </c>
      <c r="B1339" s="37">
        <v>38</v>
      </c>
      <c r="C1339" s="55">
        <v>14.23</v>
      </c>
      <c r="D1339" s="55">
        <v>14.64</v>
      </c>
      <c r="E1339" s="56">
        <f>(PI()*(Pinus[[#This Row],[d_cm]]^2))/40000</f>
        <v>1.5903755176102315E-2</v>
      </c>
      <c r="F1339" s="56">
        <f>Pinus[[#This Row],[gi_m²]]*Pinus[[#This Row],[h_m]]*0.45</f>
        <v>0.10477393910016206</v>
      </c>
    </row>
    <row r="1340" spans="1:6" x14ac:dyDescent="0.3">
      <c r="A1340" s="37">
        <v>14</v>
      </c>
      <c r="B1340" s="37">
        <v>39</v>
      </c>
      <c r="C1340" s="55">
        <v>19.170000000000002</v>
      </c>
      <c r="D1340" s="55">
        <v>16.059999999999999</v>
      </c>
      <c r="E1340" s="56">
        <f>(PI()*(Pinus[[#This Row],[d_cm]]^2))/40000</f>
        <v>2.8862510712894859E-2</v>
      </c>
      <c r="F1340" s="56">
        <f>Pinus[[#This Row],[gi_m²]]*Pinus[[#This Row],[h_m]]*0.45</f>
        <v>0.20858936492209113</v>
      </c>
    </row>
    <row r="1341" spans="1:6" x14ac:dyDescent="0.3">
      <c r="A1341" s="37">
        <v>14</v>
      </c>
      <c r="B1341" s="37">
        <v>40</v>
      </c>
      <c r="C1341" s="55">
        <v>18.25</v>
      </c>
      <c r="D1341" s="55">
        <v>15.82</v>
      </c>
      <c r="E1341" s="56">
        <f>(PI()*(Pinus[[#This Row],[d_cm]]^2))/40000</f>
        <v>2.6158667579656264E-2</v>
      </c>
      <c r="F1341" s="56">
        <f>Pinus[[#This Row],[gi_m²]]*Pinus[[#This Row],[h_m]]*0.45</f>
        <v>0.18622355449957295</v>
      </c>
    </row>
    <row r="1342" spans="1:6" x14ac:dyDescent="0.3">
      <c r="A1342" s="37">
        <v>14</v>
      </c>
      <c r="B1342" s="37">
        <v>41</v>
      </c>
      <c r="C1342" s="55">
        <v>19.13</v>
      </c>
      <c r="D1342" s="55">
        <v>16.05</v>
      </c>
      <c r="E1342" s="56">
        <f>(PI()*(Pinus[[#This Row],[d_cm]]^2))/40000</f>
        <v>2.874218771426236E-2</v>
      </c>
      <c r="F1342" s="56">
        <f>Pinus[[#This Row],[gi_m²]]*Pinus[[#This Row],[h_m]]*0.45</f>
        <v>0.2075904507662599</v>
      </c>
    </row>
    <row r="1343" spans="1:6" x14ac:dyDescent="0.3">
      <c r="A1343" s="37">
        <v>14</v>
      </c>
      <c r="B1343" s="37">
        <v>42</v>
      </c>
      <c r="C1343" s="55">
        <v>25.84</v>
      </c>
      <c r="D1343" s="55">
        <v>17.47</v>
      </c>
      <c r="E1343" s="56">
        <f>(PI()*(Pinus[[#This Row],[d_cm]]^2))/40000</f>
        <v>5.244147519301913E-2</v>
      </c>
      <c r="F1343" s="56">
        <f>Pinus[[#This Row],[gi_m²]]*Pinus[[#This Row],[h_m]]*0.45</f>
        <v>0.41226865722991984</v>
      </c>
    </row>
    <row r="1344" spans="1:6" x14ac:dyDescent="0.3">
      <c r="A1344" s="37">
        <v>14</v>
      </c>
      <c r="B1344" s="37">
        <v>43</v>
      </c>
      <c r="C1344" s="55">
        <v>17.670000000000002</v>
      </c>
      <c r="D1344" s="55">
        <v>15.67</v>
      </c>
      <c r="E1344" s="56">
        <f>(PI()*(Pinus[[#This Row],[d_cm]]^2))/40000</f>
        <v>2.4522400461960556E-2</v>
      </c>
      <c r="F1344" s="56">
        <f>Pinus[[#This Row],[gi_m²]]*Pinus[[#This Row],[h_m]]*0.45</f>
        <v>0.17291970685751487</v>
      </c>
    </row>
    <row r="1345" spans="1:6" x14ac:dyDescent="0.3">
      <c r="A1345" s="37">
        <v>14</v>
      </c>
      <c r="B1345" s="37">
        <v>44</v>
      </c>
      <c r="C1345" s="55">
        <v>16.87</v>
      </c>
      <c r="D1345" s="55">
        <v>15.45</v>
      </c>
      <c r="E1345" s="56">
        <f>(PI()*(Pinus[[#This Row],[d_cm]]^2))/40000</f>
        <v>2.2352188256860733E-2</v>
      </c>
      <c r="F1345" s="56">
        <f>Pinus[[#This Row],[gi_m²]]*Pinus[[#This Row],[h_m]]*0.45</f>
        <v>0.15540358885582425</v>
      </c>
    </row>
    <row r="1346" spans="1:6" x14ac:dyDescent="0.3">
      <c r="A1346" s="37">
        <v>14</v>
      </c>
      <c r="B1346" s="37">
        <v>45</v>
      </c>
      <c r="C1346" s="55">
        <v>13.92</v>
      </c>
      <c r="D1346" s="55">
        <v>14.54</v>
      </c>
      <c r="E1346" s="56">
        <f>(PI()*(Pinus[[#This Row],[d_cm]]^2))/40000</f>
        <v>1.5218377468813531E-2</v>
      </c>
      <c r="F1346" s="56">
        <f>Pinus[[#This Row],[gi_m²]]*Pinus[[#This Row],[h_m]]*0.45</f>
        <v>9.9573843778446941E-2</v>
      </c>
    </row>
    <row r="1347" spans="1:6" x14ac:dyDescent="0.3">
      <c r="A1347" s="37">
        <v>14</v>
      </c>
      <c r="B1347" s="37">
        <v>46</v>
      </c>
      <c r="C1347" s="55">
        <v>16.78</v>
      </c>
      <c r="D1347" s="55">
        <v>15.43</v>
      </c>
      <c r="E1347" s="56">
        <f>(PI()*(Pinus[[#This Row],[d_cm]]^2))/40000</f>
        <v>2.2114330423075812E-2</v>
      </c>
      <c r="F1347" s="56">
        <f>Pinus[[#This Row],[gi_m²]]*Pinus[[#This Row],[h_m]]*0.45</f>
        <v>0.15355085329262691</v>
      </c>
    </row>
    <row r="1348" spans="1:6" x14ac:dyDescent="0.3">
      <c r="A1348" s="37">
        <v>14</v>
      </c>
      <c r="B1348" s="37">
        <v>47</v>
      </c>
      <c r="C1348" s="55">
        <v>15.34</v>
      </c>
      <c r="D1348" s="55">
        <v>15</v>
      </c>
      <c r="E1348" s="56">
        <f>(PI()*(Pinus[[#This Row],[d_cm]]^2))/40000</f>
        <v>1.8481644005876856E-2</v>
      </c>
      <c r="F1348" s="56">
        <f>Pinus[[#This Row],[gi_m²]]*Pinus[[#This Row],[h_m]]*0.45</f>
        <v>0.12475109703966877</v>
      </c>
    </row>
    <row r="1349" spans="1:6" x14ac:dyDescent="0.3">
      <c r="A1349" s="37">
        <v>14</v>
      </c>
      <c r="B1349" s="37">
        <v>48</v>
      </c>
      <c r="C1349" s="55">
        <v>21.63</v>
      </c>
      <c r="D1349" s="55">
        <v>16.63</v>
      </c>
      <c r="E1349" s="56">
        <f>(PI()*(Pinus[[#This Row],[d_cm]]^2))/40000</f>
        <v>3.6745394999282359E-2</v>
      </c>
      <c r="F1349" s="56">
        <f>Pinus[[#This Row],[gi_m²]]*Pinus[[#This Row],[h_m]]*0.45</f>
        <v>0.27498416347712951</v>
      </c>
    </row>
    <row r="1350" spans="1:6" x14ac:dyDescent="0.3">
      <c r="A1350" s="37">
        <v>14</v>
      </c>
      <c r="B1350" s="37">
        <v>49</v>
      </c>
      <c r="C1350" s="55">
        <v>16.55</v>
      </c>
      <c r="D1350" s="55">
        <v>15.36</v>
      </c>
      <c r="E1350" s="56">
        <f>(PI()*(Pinus[[#This Row],[d_cm]]^2))/40000</f>
        <v>2.151225204499696E-2</v>
      </c>
      <c r="F1350" s="56">
        <f>Pinus[[#This Row],[gi_m²]]*Pinus[[#This Row],[h_m]]*0.45</f>
        <v>0.14869268613501899</v>
      </c>
    </row>
    <row r="1351" spans="1:6" x14ac:dyDescent="0.3">
      <c r="A1351" s="37">
        <v>14</v>
      </c>
      <c r="B1351" s="37">
        <v>50</v>
      </c>
      <c r="C1351" s="55">
        <v>21.22</v>
      </c>
      <c r="D1351" s="55">
        <v>16.54</v>
      </c>
      <c r="E1351" s="56">
        <f>(PI()*(Pinus[[#This Row],[d_cm]]^2))/40000</f>
        <v>3.5365568235917549E-2</v>
      </c>
      <c r="F1351" s="56">
        <f>Pinus[[#This Row],[gi_m²]]*Pinus[[#This Row],[h_m]]*0.45</f>
        <v>0.26322592437993431</v>
      </c>
    </row>
    <row r="1352" spans="1:6" x14ac:dyDescent="0.3">
      <c r="A1352" s="37">
        <v>14</v>
      </c>
      <c r="B1352" s="37">
        <v>51</v>
      </c>
      <c r="C1352" s="55">
        <v>19.41</v>
      </c>
      <c r="D1352" s="55">
        <v>16.12</v>
      </c>
      <c r="E1352" s="56">
        <f>(PI()*(Pinus[[#This Row],[d_cm]]^2))/40000</f>
        <v>2.9589726580347822E-2</v>
      </c>
      <c r="F1352" s="56">
        <f>Pinus[[#This Row],[gi_m²]]*Pinus[[#This Row],[h_m]]*0.45</f>
        <v>0.21464387661384313</v>
      </c>
    </row>
    <row r="1353" spans="1:6" x14ac:dyDescent="0.3">
      <c r="A1353" s="37">
        <v>14</v>
      </c>
      <c r="B1353" s="37">
        <v>52</v>
      </c>
      <c r="C1353" s="55">
        <v>14.27</v>
      </c>
      <c r="D1353" s="55">
        <v>14.66</v>
      </c>
      <c r="E1353" s="56">
        <f>(PI()*(Pinus[[#This Row],[d_cm]]^2))/40000</f>
        <v>1.5993290566729625E-2</v>
      </c>
      <c r="F1353" s="56">
        <f>Pinus[[#This Row],[gi_m²]]*Pinus[[#This Row],[h_m]]*0.45</f>
        <v>0.10550773786871534</v>
      </c>
    </row>
    <row r="1354" spans="1:6" x14ac:dyDescent="0.3">
      <c r="A1354" s="37">
        <v>14</v>
      </c>
      <c r="B1354" s="37">
        <v>53</v>
      </c>
      <c r="C1354" s="55">
        <v>16.84</v>
      </c>
      <c r="D1354" s="55">
        <v>15.44</v>
      </c>
      <c r="E1354" s="56">
        <f>(PI()*(Pinus[[#This Row],[d_cm]]^2))/40000</f>
        <v>2.2272760940596343E-2</v>
      </c>
      <c r="F1354" s="56">
        <f>Pinus[[#This Row],[gi_m²]]*Pinus[[#This Row],[h_m]]*0.45</f>
        <v>0.15475114301526341</v>
      </c>
    </row>
    <row r="1355" spans="1:6" x14ac:dyDescent="0.3">
      <c r="A1355" s="37">
        <v>14</v>
      </c>
      <c r="B1355" s="37">
        <v>54</v>
      </c>
      <c r="C1355" s="55">
        <v>23.54</v>
      </c>
      <c r="D1355" s="55">
        <v>17.03</v>
      </c>
      <c r="E1355" s="56">
        <f>(PI()*(Pinus[[#This Row],[d_cm]]^2))/40000</f>
        <v>4.3521394092048936E-2</v>
      </c>
      <c r="F1355" s="56">
        <f>Pinus[[#This Row],[gi_m²]]*Pinus[[#This Row],[h_m]]*0.45</f>
        <v>0.33352620362441704</v>
      </c>
    </row>
    <row r="1356" spans="1:6" x14ac:dyDescent="0.3">
      <c r="A1356" s="37">
        <v>14</v>
      </c>
      <c r="B1356" s="37">
        <v>55</v>
      </c>
      <c r="C1356" s="55">
        <v>23.61</v>
      </c>
      <c r="D1356" s="55">
        <v>17.05</v>
      </c>
      <c r="E1356" s="56">
        <f>(PI()*(Pinus[[#This Row],[d_cm]]^2))/40000</f>
        <v>4.3780614755878272E-2</v>
      </c>
      <c r="F1356" s="56">
        <f>Pinus[[#This Row],[gi_m²]]*Pinus[[#This Row],[h_m]]*0.45</f>
        <v>0.33590676671447606</v>
      </c>
    </row>
    <row r="1357" spans="1:6" x14ac:dyDescent="0.3">
      <c r="A1357" s="37">
        <v>14</v>
      </c>
      <c r="B1357" s="37">
        <v>56</v>
      </c>
      <c r="C1357" s="55">
        <v>28.02</v>
      </c>
      <c r="D1357" s="55">
        <v>17.86</v>
      </c>
      <c r="E1357" s="56">
        <f>(PI()*(Pinus[[#This Row],[d_cm]]^2))/40000</f>
        <v>6.1663212020586992E-2</v>
      </c>
      <c r="F1357" s="56">
        <f>Pinus[[#This Row],[gi_m²]]*Pinus[[#This Row],[h_m]]*0.45</f>
        <v>0.49558723500945767</v>
      </c>
    </row>
    <row r="1358" spans="1:6" x14ac:dyDescent="0.3">
      <c r="A1358" s="37">
        <v>14</v>
      </c>
      <c r="B1358" s="37">
        <v>57</v>
      </c>
      <c r="C1358" s="55">
        <v>19.989999999999998</v>
      </c>
      <c r="D1358" s="55">
        <v>16.25</v>
      </c>
      <c r="E1358" s="56">
        <f>(PI()*(Pinus[[#This Row],[d_cm]]^2))/40000</f>
        <v>3.1384518463343662E-2</v>
      </c>
      <c r="F1358" s="56">
        <f>Pinus[[#This Row],[gi_m²]]*Pinus[[#This Row],[h_m]]*0.45</f>
        <v>0.22949929126320051</v>
      </c>
    </row>
    <row r="1359" spans="1:6" x14ac:dyDescent="0.3">
      <c r="A1359" s="37">
        <v>14</v>
      </c>
      <c r="B1359" s="37">
        <v>58</v>
      </c>
      <c r="C1359" s="55">
        <v>14.02</v>
      </c>
      <c r="D1359" s="55">
        <v>14.57</v>
      </c>
      <c r="E1359" s="56">
        <f>(PI()*(Pinus[[#This Row],[d_cm]]^2))/40000</f>
        <v>1.5437817715666779E-2</v>
      </c>
      <c r="F1359" s="56">
        <f>Pinus[[#This Row],[gi_m²]]*Pinus[[#This Row],[h_m]]*0.45</f>
        <v>0.10121805185276923</v>
      </c>
    </row>
    <row r="1360" spans="1:6" x14ac:dyDescent="0.3">
      <c r="A1360" s="37">
        <v>14</v>
      </c>
      <c r="B1360" s="37">
        <v>59</v>
      </c>
      <c r="C1360" s="55">
        <v>16.93</v>
      </c>
      <c r="D1360" s="55">
        <v>15.47</v>
      </c>
      <c r="E1360" s="56">
        <f>(PI()*(Pinus[[#This Row],[d_cm]]^2))/40000</f>
        <v>2.2511467004397726E-2</v>
      </c>
      <c r="F1360" s="56">
        <f>Pinus[[#This Row],[gi_m²]]*Pinus[[#This Row],[h_m]]*0.45</f>
        <v>0.15671357755111476</v>
      </c>
    </row>
    <row r="1361" spans="1:6" x14ac:dyDescent="0.3">
      <c r="A1361" s="37">
        <v>14</v>
      </c>
      <c r="B1361" s="37">
        <v>60</v>
      </c>
      <c r="C1361" s="55">
        <v>21.63</v>
      </c>
      <c r="D1361" s="55">
        <v>16.63</v>
      </c>
      <c r="E1361" s="56">
        <f>(PI()*(Pinus[[#This Row],[d_cm]]^2))/40000</f>
        <v>3.6745394999282359E-2</v>
      </c>
      <c r="F1361" s="56">
        <f>Pinus[[#This Row],[gi_m²]]*Pinus[[#This Row],[h_m]]*0.45</f>
        <v>0.27498416347712951</v>
      </c>
    </row>
    <row r="1362" spans="1:6" x14ac:dyDescent="0.3">
      <c r="A1362" s="37">
        <v>14</v>
      </c>
      <c r="B1362" s="37">
        <v>61</v>
      </c>
      <c r="C1362" s="55">
        <v>27.6</v>
      </c>
      <c r="D1362" s="55">
        <v>17.79</v>
      </c>
      <c r="E1362" s="56">
        <f>(PI()*(Pinus[[#This Row],[d_cm]]^2))/40000</f>
        <v>5.9828490494964026E-2</v>
      </c>
      <c r="F1362" s="56">
        <f>Pinus[[#This Row],[gi_m²]]*Pinus[[#This Row],[h_m]]*0.45</f>
        <v>0.47895698065743453</v>
      </c>
    </row>
    <row r="1363" spans="1:6" x14ac:dyDescent="0.3">
      <c r="A1363" s="37">
        <v>14</v>
      </c>
      <c r="B1363" s="37">
        <v>62</v>
      </c>
      <c r="C1363" s="55">
        <v>20.440000000000001</v>
      </c>
      <c r="D1363" s="55">
        <v>16.36</v>
      </c>
      <c r="E1363" s="56">
        <f>(PI()*(Pinus[[#This Row],[d_cm]]^2))/40000</f>
        <v>3.2813432611920816E-2</v>
      </c>
      <c r="F1363" s="56">
        <f>Pinus[[#This Row],[gi_m²]]*Pinus[[#This Row],[h_m]]*0.45</f>
        <v>0.24157249088896104</v>
      </c>
    </row>
    <row r="1364" spans="1:6" x14ac:dyDescent="0.3">
      <c r="A1364" s="37">
        <v>14</v>
      </c>
      <c r="B1364" s="37">
        <v>63</v>
      </c>
      <c r="C1364" s="55">
        <v>24.56</v>
      </c>
      <c r="D1364" s="55">
        <v>17.23</v>
      </c>
      <c r="E1364" s="56">
        <f>(PI()*(Pinus[[#This Row],[d_cm]]^2))/40000</f>
        <v>4.7374714561309504E-2</v>
      </c>
      <c r="F1364" s="56">
        <f>Pinus[[#This Row],[gi_m²]]*Pinus[[#This Row],[h_m]]*0.45</f>
        <v>0.36731984935111328</v>
      </c>
    </row>
    <row r="1365" spans="1:6" x14ac:dyDescent="0.3">
      <c r="A1365" s="37">
        <v>14</v>
      </c>
      <c r="B1365" s="37">
        <v>64</v>
      </c>
      <c r="C1365" s="55">
        <v>23.07</v>
      </c>
      <c r="D1365" s="55">
        <v>16.940000000000001</v>
      </c>
      <c r="E1365" s="56">
        <f>(PI()*(Pinus[[#This Row],[d_cm]]^2))/40000</f>
        <v>4.1800845897439064E-2</v>
      </c>
      <c r="F1365" s="56">
        <f>Pinus[[#This Row],[gi_m²]]*Pinus[[#This Row],[h_m]]*0.45</f>
        <v>0.31864784827617798</v>
      </c>
    </row>
    <row r="1366" spans="1:6" x14ac:dyDescent="0.3">
      <c r="A1366" s="37">
        <v>14</v>
      </c>
      <c r="B1366" s="37">
        <v>65</v>
      </c>
      <c r="C1366" s="55">
        <v>15.33</v>
      </c>
      <c r="D1366" s="55">
        <v>15</v>
      </c>
      <c r="E1366" s="56">
        <f>(PI()*(Pinus[[#This Row],[d_cm]]^2))/40000</f>
        <v>1.8457555844205459E-2</v>
      </c>
      <c r="F1366" s="56">
        <f>Pinus[[#This Row],[gi_m²]]*Pinus[[#This Row],[h_m]]*0.45</f>
        <v>0.12458850194838686</v>
      </c>
    </row>
    <row r="1367" spans="1:6" x14ac:dyDescent="0.3">
      <c r="A1367" s="37">
        <v>14</v>
      </c>
      <c r="B1367" s="37">
        <v>66</v>
      </c>
      <c r="C1367" s="55">
        <v>19.32</v>
      </c>
      <c r="D1367" s="55">
        <v>16.09</v>
      </c>
      <c r="E1367" s="56">
        <f>(PI()*(Pinus[[#This Row],[d_cm]]^2))/40000</f>
        <v>2.9315960342532373E-2</v>
      </c>
      <c r="F1367" s="56">
        <f>Pinus[[#This Row],[gi_m²]]*Pinus[[#This Row],[h_m]]*0.45</f>
        <v>0.21226221086010563</v>
      </c>
    </row>
    <row r="1368" spans="1:6" x14ac:dyDescent="0.3">
      <c r="A1368" s="37">
        <v>14</v>
      </c>
      <c r="B1368" s="37">
        <v>67</v>
      </c>
      <c r="C1368" s="55">
        <v>25.22</v>
      </c>
      <c r="D1368" s="55">
        <v>17.36</v>
      </c>
      <c r="E1368" s="56">
        <f>(PI()*(Pinus[[#This Row],[d_cm]]^2))/40000</f>
        <v>4.995512451918855E-2</v>
      </c>
      <c r="F1368" s="56">
        <f>Pinus[[#This Row],[gi_m²]]*Pinus[[#This Row],[h_m]]*0.45</f>
        <v>0.39024943274390095</v>
      </c>
    </row>
    <row r="1369" spans="1:6" x14ac:dyDescent="0.3">
      <c r="A1369" s="37">
        <v>14</v>
      </c>
      <c r="B1369" s="37">
        <v>68</v>
      </c>
      <c r="C1369" s="55">
        <v>23.5</v>
      </c>
      <c r="D1369" s="55">
        <v>17.02</v>
      </c>
      <c r="E1369" s="56">
        <f>(PI()*(Pinus[[#This Row],[d_cm]]^2))/40000</f>
        <v>4.3373613573624084E-2</v>
      </c>
      <c r="F1369" s="56">
        <f>Pinus[[#This Row],[gi_m²]]*Pinus[[#This Row],[h_m]]*0.45</f>
        <v>0.33219850636038689</v>
      </c>
    </row>
    <row r="1370" spans="1:6" x14ac:dyDescent="0.3">
      <c r="A1370" s="37">
        <v>14</v>
      </c>
      <c r="B1370" s="37">
        <v>69</v>
      </c>
      <c r="C1370" s="55">
        <v>21.86</v>
      </c>
      <c r="D1370" s="55">
        <v>16.68</v>
      </c>
      <c r="E1370" s="56">
        <f>(PI()*(Pinus[[#This Row],[d_cm]]^2))/40000</f>
        <v>3.7531005220183926E-2</v>
      </c>
      <c r="F1370" s="56">
        <f>Pinus[[#This Row],[gi_m²]]*Pinus[[#This Row],[h_m]]*0.45</f>
        <v>0.28170772518270054</v>
      </c>
    </row>
    <row r="1371" spans="1:6" x14ac:dyDescent="0.3">
      <c r="A1371" s="37">
        <v>14</v>
      </c>
      <c r="B1371" s="37">
        <v>70</v>
      </c>
      <c r="C1371" s="55">
        <v>21.91</v>
      </c>
      <c r="D1371" s="55">
        <v>16.690000000000001</v>
      </c>
      <c r="E1371" s="56">
        <f>(PI()*(Pinus[[#This Row],[d_cm]]^2))/40000</f>
        <v>3.7702889608243466E-2</v>
      </c>
      <c r="F1371" s="56">
        <f>Pinus[[#This Row],[gi_m²]]*Pinus[[#This Row],[h_m]]*0.45</f>
        <v>0.28316755240271257</v>
      </c>
    </row>
    <row r="1372" spans="1:6" x14ac:dyDescent="0.3">
      <c r="A1372" s="37">
        <v>14</v>
      </c>
      <c r="B1372" s="37">
        <v>71</v>
      </c>
      <c r="C1372" s="55">
        <v>18.03</v>
      </c>
      <c r="D1372" s="55">
        <v>15.77</v>
      </c>
      <c r="E1372" s="56">
        <f>(PI()*(Pinus[[#This Row],[d_cm]]^2))/40000</f>
        <v>2.5531794181558959E-2</v>
      </c>
      <c r="F1372" s="56">
        <f>Pinus[[#This Row],[gi_m²]]*Pinus[[#This Row],[h_m]]*0.45</f>
        <v>0.18118637740943314</v>
      </c>
    </row>
    <row r="1373" spans="1:6" x14ac:dyDescent="0.3">
      <c r="A1373" s="37">
        <v>14</v>
      </c>
      <c r="B1373" s="37">
        <v>72</v>
      </c>
      <c r="C1373" s="55">
        <v>14.72</v>
      </c>
      <c r="D1373" s="55">
        <v>14.81</v>
      </c>
      <c r="E1373" s="56">
        <f>(PI()*(Pinus[[#This Row],[d_cm]]^2))/40000</f>
        <v>1.7017881740789768E-2</v>
      </c>
      <c r="F1373" s="56">
        <f>Pinus[[#This Row],[gi_m²]]*Pinus[[#This Row],[h_m]]*0.45</f>
        <v>0.11341567286149343</v>
      </c>
    </row>
    <row r="1374" spans="1:6" x14ac:dyDescent="0.3">
      <c r="A1374" s="37">
        <v>14</v>
      </c>
      <c r="B1374" s="37">
        <v>73</v>
      </c>
      <c r="C1374" s="55">
        <v>25.18</v>
      </c>
      <c r="D1374" s="55">
        <v>17.350000000000001</v>
      </c>
      <c r="E1374" s="56">
        <f>(PI()*(Pinus[[#This Row],[d_cm]]^2))/40000</f>
        <v>4.9796788249447624E-2</v>
      </c>
      <c r="F1374" s="56">
        <f>Pinus[[#This Row],[gi_m²]]*Pinus[[#This Row],[h_m]]*0.45</f>
        <v>0.38878842425756238</v>
      </c>
    </row>
    <row r="1375" spans="1:6" x14ac:dyDescent="0.3">
      <c r="A1375" s="37">
        <v>14</v>
      </c>
      <c r="B1375" s="37">
        <v>74</v>
      </c>
      <c r="C1375" s="55">
        <v>14.32</v>
      </c>
      <c r="D1375" s="55">
        <v>14.67</v>
      </c>
      <c r="E1375" s="56">
        <f>(PI()*(Pinus[[#This Row],[d_cm]]^2))/40000</f>
        <v>1.6105563234187291E-2</v>
      </c>
      <c r="F1375" s="56">
        <f>Pinus[[#This Row],[gi_m²]]*Pinus[[#This Row],[h_m]]*0.45</f>
        <v>0.10632087569048741</v>
      </c>
    </row>
    <row r="1376" spans="1:6" x14ac:dyDescent="0.3">
      <c r="A1376" s="37">
        <v>14</v>
      </c>
      <c r="B1376" s="37">
        <v>75</v>
      </c>
      <c r="C1376" s="55">
        <v>16.239999999999998</v>
      </c>
      <c r="D1376" s="55">
        <v>15.27</v>
      </c>
      <c r="E1376" s="56">
        <f>(PI()*(Pinus[[#This Row],[d_cm]]^2))/40000</f>
        <v>2.0713902665885082E-2</v>
      </c>
      <c r="F1376" s="56">
        <f>Pinus[[#This Row],[gi_m²]]*Pinus[[#This Row],[h_m]]*0.45</f>
        <v>0.14233558216862935</v>
      </c>
    </row>
    <row r="1377" spans="1:6" x14ac:dyDescent="0.3">
      <c r="A1377" s="37">
        <v>14</v>
      </c>
      <c r="B1377" s="37">
        <v>76</v>
      </c>
      <c r="C1377" s="55">
        <v>22.52</v>
      </c>
      <c r="D1377" s="55">
        <v>16.82</v>
      </c>
      <c r="E1377" s="56">
        <f>(PI()*(Pinus[[#This Row],[d_cm]]^2))/40000</f>
        <v>3.9831499272628121E-2</v>
      </c>
      <c r="F1377" s="56">
        <f>Pinus[[#This Row],[gi_m²]]*Pinus[[#This Row],[h_m]]*0.45</f>
        <v>0.30148461799452225</v>
      </c>
    </row>
    <row r="1378" spans="1:6" x14ac:dyDescent="0.3">
      <c r="A1378" s="37">
        <v>14</v>
      </c>
      <c r="B1378" s="37">
        <v>77</v>
      </c>
      <c r="C1378" s="55">
        <v>14.95</v>
      </c>
      <c r="D1378" s="55">
        <v>14.88</v>
      </c>
      <c r="E1378" s="56">
        <f>(PI()*(Pinus[[#This Row],[d_cm]]^2))/40000</f>
        <v>1.7553845301473817E-2</v>
      </c>
      <c r="F1378" s="56">
        <f>Pinus[[#This Row],[gi_m²]]*Pinus[[#This Row],[h_m]]*0.45</f>
        <v>0.11754054813866868</v>
      </c>
    </row>
    <row r="1379" spans="1:6" x14ac:dyDescent="0.3">
      <c r="A1379" s="37">
        <v>14</v>
      </c>
      <c r="B1379" s="37">
        <v>78</v>
      </c>
      <c r="C1379" s="55">
        <v>17.79</v>
      </c>
      <c r="D1379" s="55">
        <v>15.7</v>
      </c>
      <c r="E1379" s="56">
        <f>(PI()*(Pinus[[#This Row],[d_cm]]^2))/40000</f>
        <v>2.4856603088449433E-2</v>
      </c>
      <c r="F1379" s="56">
        <f>Pinus[[#This Row],[gi_m²]]*Pinus[[#This Row],[h_m]]*0.45</f>
        <v>0.17561190081989525</v>
      </c>
    </row>
    <row r="1380" spans="1:6" x14ac:dyDescent="0.3">
      <c r="A1380" s="37">
        <v>14</v>
      </c>
      <c r="B1380" s="37">
        <v>79</v>
      </c>
      <c r="C1380" s="55">
        <v>15.27</v>
      </c>
      <c r="D1380" s="55">
        <v>14.98</v>
      </c>
      <c r="E1380" s="56">
        <f>(PI()*(Pinus[[#This Row],[d_cm]]^2))/40000</f>
        <v>1.8313356741405686E-2</v>
      </c>
      <c r="F1380" s="56">
        <f>Pinus[[#This Row],[gi_m²]]*Pinus[[#This Row],[h_m]]*0.45</f>
        <v>0.12345033779381574</v>
      </c>
    </row>
    <row r="1381" spans="1:6" x14ac:dyDescent="0.3">
      <c r="A1381" s="37">
        <v>14</v>
      </c>
      <c r="B1381" s="37">
        <v>80</v>
      </c>
      <c r="C1381" s="55">
        <v>22.48</v>
      </c>
      <c r="D1381" s="55">
        <v>16.809999999999999</v>
      </c>
      <c r="E1381" s="56">
        <f>(PI()*(Pinus[[#This Row],[d_cm]]^2))/40000</f>
        <v>3.9690127603216586E-2</v>
      </c>
      <c r="F1381" s="56">
        <f>Pinus[[#This Row],[gi_m²]]*Pinus[[#This Row],[h_m]]*0.45</f>
        <v>0.30023597025453186</v>
      </c>
    </row>
    <row r="1382" spans="1:6" x14ac:dyDescent="0.3">
      <c r="A1382" s="37">
        <v>14</v>
      </c>
      <c r="B1382" s="37">
        <v>81</v>
      </c>
      <c r="C1382" s="55">
        <v>21.79</v>
      </c>
      <c r="D1382" s="55">
        <v>16.66</v>
      </c>
      <c r="E1382" s="56">
        <f>(PI()*(Pinus[[#This Row],[d_cm]]^2))/40000</f>
        <v>3.7291026811357833E-2</v>
      </c>
      <c r="F1382" s="56">
        <f>Pinus[[#This Row],[gi_m²]]*Pinus[[#This Row],[h_m]]*0.45</f>
        <v>0.27957082800474969</v>
      </c>
    </row>
    <row r="1383" spans="1:6" x14ac:dyDescent="0.3">
      <c r="A1383" s="37">
        <v>14</v>
      </c>
      <c r="B1383" s="37">
        <v>82</v>
      </c>
      <c r="C1383" s="55">
        <v>21.69</v>
      </c>
      <c r="D1383" s="55">
        <v>16.64</v>
      </c>
      <c r="E1383" s="56">
        <f>(PI()*(Pinus[[#This Row],[d_cm]]^2))/40000</f>
        <v>3.6949535689912633E-2</v>
      </c>
      <c r="F1383" s="56">
        <f>Pinus[[#This Row],[gi_m²]]*Pinus[[#This Row],[h_m]]*0.45</f>
        <v>0.27667812324606583</v>
      </c>
    </row>
    <row r="1384" spans="1:6" x14ac:dyDescent="0.3">
      <c r="A1384" s="37">
        <v>14</v>
      </c>
      <c r="B1384" s="37">
        <v>83</v>
      </c>
      <c r="C1384" s="55">
        <v>21.77</v>
      </c>
      <c r="D1384" s="55">
        <v>16.66</v>
      </c>
      <c r="E1384" s="56">
        <f>(PI()*(Pinus[[#This Row],[d_cm]]^2))/40000</f>
        <v>3.7222602923362651E-2</v>
      </c>
      <c r="F1384" s="56">
        <f>Pinus[[#This Row],[gi_m²]]*Pinus[[#This Row],[h_m]]*0.45</f>
        <v>0.27905785411644979</v>
      </c>
    </row>
    <row r="1385" spans="1:6" x14ac:dyDescent="0.3">
      <c r="A1385" s="37">
        <v>14</v>
      </c>
      <c r="B1385" s="37">
        <v>84</v>
      </c>
      <c r="C1385" s="55">
        <v>22.23</v>
      </c>
      <c r="D1385" s="55">
        <v>16.760000000000002</v>
      </c>
      <c r="E1385" s="56">
        <f>(PI()*(Pinus[[#This Row],[d_cm]]^2))/40000</f>
        <v>3.8812248806079086E-2</v>
      </c>
      <c r="F1385" s="56">
        <f>Pinus[[#This Row],[gi_m²]]*Pinus[[#This Row],[h_m]]*0.45</f>
        <v>0.29272198049544851</v>
      </c>
    </row>
    <row r="1386" spans="1:6" x14ac:dyDescent="0.3">
      <c r="A1386" s="37">
        <v>14</v>
      </c>
      <c r="B1386" s="37">
        <v>85</v>
      </c>
      <c r="C1386" s="55">
        <v>22.56</v>
      </c>
      <c r="D1386" s="55">
        <v>16.829999999999998</v>
      </c>
      <c r="E1386" s="56">
        <f>(PI()*(Pinus[[#This Row],[d_cm]]^2))/40000</f>
        <v>3.9973122269451947E-2</v>
      </c>
      <c r="F1386" s="56">
        <f>Pinus[[#This Row],[gi_m²]]*Pinus[[#This Row],[h_m]]*0.45</f>
        <v>0.3027364415076943</v>
      </c>
    </row>
    <row r="1387" spans="1:6" x14ac:dyDescent="0.3">
      <c r="A1387" s="37">
        <v>14</v>
      </c>
      <c r="B1387" s="37">
        <v>86</v>
      </c>
      <c r="C1387" s="55">
        <v>12.13</v>
      </c>
      <c r="D1387" s="55">
        <v>13.89</v>
      </c>
      <c r="E1387" s="56">
        <f>(PI()*(Pinus[[#This Row],[d_cm]]^2))/40000</f>
        <v>1.1556105102799403E-2</v>
      </c>
      <c r="F1387" s="56">
        <f>Pinus[[#This Row],[gi_m²]]*Pinus[[#This Row],[h_m]]*0.45</f>
        <v>7.2231434945047676E-2</v>
      </c>
    </row>
    <row r="1388" spans="1:6" x14ac:dyDescent="0.3">
      <c r="A1388" s="37">
        <v>14</v>
      </c>
      <c r="B1388" s="37">
        <v>87</v>
      </c>
      <c r="C1388" s="55">
        <v>19.399999999999999</v>
      </c>
      <c r="D1388" s="55">
        <v>16.12</v>
      </c>
      <c r="E1388" s="56">
        <f>(PI()*(Pinus[[#This Row],[d_cm]]^2))/40000</f>
        <v>2.9559245277626361E-2</v>
      </c>
      <c r="F1388" s="56">
        <f>Pinus[[#This Row],[gi_m²]]*Pinus[[#This Row],[h_m]]*0.45</f>
        <v>0.21442276524390164</v>
      </c>
    </row>
    <row r="1389" spans="1:6" x14ac:dyDescent="0.3">
      <c r="A1389" s="37">
        <v>14</v>
      </c>
      <c r="B1389" s="37">
        <v>88</v>
      </c>
      <c r="C1389" s="55">
        <v>20.45</v>
      </c>
      <c r="D1389" s="55">
        <v>16.36</v>
      </c>
      <c r="E1389" s="56">
        <f>(PI()*(Pinus[[#This Row],[d_cm]]^2))/40000</f>
        <v>3.2845547542822137E-2</v>
      </c>
      <c r="F1389" s="56">
        <f>Pinus[[#This Row],[gi_m²]]*Pinus[[#This Row],[h_m]]*0.45</f>
        <v>0.24180892101025656</v>
      </c>
    </row>
    <row r="1390" spans="1:6" x14ac:dyDescent="0.3">
      <c r="A1390" s="37">
        <v>14</v>
      </c>
      <c r="B1390" s="37">
        <v>89</v>
      </c>
      <c r="C1390" s="55">
        <v>22.9</v>
      </c>
      <c r="D1390" s="55">
        <v>16.899999999999999</v>
      </c>
      <c r="E1390" s="56">
        <f>(PI()*(Pinus[[#This Row],[d_cm]]^2))/40000</f>
        <v>4.1187065086725587E-2</v>
      </c>
      <c r="F1390" s="56">
        <f>Pinus[[#This Row],[gi_m²]]*Pinus[[#This Row],[h_m]]*0.45</f>
        <v>0.31322762998454812</v>
      </c>
    </row>
    <row r="1391" spans="1:6" x14ac:dyDescent="0.3">
      <c r="A1391" s="37">
        <v>14</v>
      </c>
      <c r="B1391" s="37">
        <v>90</v>
      </c>
      <c r="C1391" s="55">
        <v>15.25</v>
      </c>
      <c r="D1391" s="55">
        <v>14.97</v>
      </c>
      <c r="E1391" s="56">
        <f>(PI()*(Pinus[[#This Row],[d_cm]]^2))/40000</f>
        <v>1.8265416037511906E-2</v>
      </c>
      <c r="F1391" s="56">
        <f>Pinus[[#This Row],[gi_m²]]*Pinus[[#This Row],[h_m]]*0.45</f>
        <v>0.12304497513669897</v>
      </c>
    </row>
    <row r="1392" spans="1:6" x14ac:dyDescent="0.3">
      <c r="A1392" s="37">
        <v>14</v>
      </c>
      <c r="B1392" s="37">
        <v>91</v>
      </c>
      <c r="C1392" s="55">
        <v>18</v>
      </c>
      <c r="D1392" s="55">
        <v>15.76</v>
      </c>
      <c r="E1392" s="56">
        <f>(PI()*(Pinus[[#This Row],[d_cm]]^2))/40000</f>
        <v>2.5446900494077322E-2</v>
      </c>
      <c r="F1392" s="56">
        <f>Pinus[[#This Row],[gi_m²]]*Pinus[[#This Row],[h_m]]*0.45</f>
        <v>0.18046941830399638</v>
      </c>
    </row>
    <row r="1393" spans="1:6" x14ac:dyDescent="0.3">
      <c r="A1393" s="37">
        <v>14</v>
      </c>
      <c r="B1393" s="37">
        <v>92</v>
      </c>
      <c r="C1393" s="55">
        <v>15.71</v>
      </c>
      <c r="D1393" s="55">
        <v>15.11</v>
      </c>
      <c r="E1393" s="56">
        <f>(PI()*(Pinus[[#This Row],[d_cm]]^2))/40000</f>
        <v>1.9383948685896019E-2</v>
      </c>
      <c r="F1393" s="56">
        <f>Pinus[[#This Row],[gi_m²]]*Pinus[[#This Row],[h_m]]*0.45</f>
        <v>0.13180115908974999</v>
      </c>
    </row>
    <row r="1394" spans="1:6" x14ac:dyDescent="0.3">
      <c r="A1394" s="37">
        <v>14</v>
      </c>
      <c r="B1394" s="37">
        <v>93</v>
      </c>
      <c r="C1394" s="55">
        <v>24.23</v>
      </c>
      <c r="D1394" s="55">
        <v>17.170000000000002</v>
      </c>
      <c r="E1394" s="56">
        <f>(PI()*(Pinus[[#This Row],[d_cm]]^2))/40000</f>
        <v>4.6110168540368174E-2</v>
      </c>
      <c r="F1394" s="56">
        <f>Pinus[[#This Row],[gi_m²]]*Pinus[[#This Row],[h_m]]*0.45</f>
        <v>0.35627021722715474</v>
      </c>
    </row>
    <row r="1395" spans="1:6" x14ac:dyDescent="0.3">
      <c r="A1395" s="37">
        <v>14</v>
      </c>
      <c r="B1395" s="37">
        <v>94</v>
      </c>
      <c r="C1395" s="55">
        <v>25.12</v>
      </c>
      <c r="D1395" s="55">
        <v>17.34</v>
      </c>
      <c r="E1395" s="56">
        <f>(PI()*(Pinus[[#This Row],[d_cm]]^2))/40000</f>
        <v>4.955975508373428E-2</v>
      </c>
      <c r="F1395" s="56">
        <f>Pinus[[#This Row],[gi_m²]]*Pinus[[#This Row],[h_m]]*0.45</f>
        <v>0.38671476891837858</v>
      </c>
    </row>
    <row r="1396" spans="1:6" x14ac:dyDescent="0.3">
      <c r="A1396" s="37">
        <v>14</v>
      </c>
      <c r="B1396" s="37">
        <v>95</v>
      </c>
      <c r="C1396" s="55">
        <v>23.15</v>
      </c>
      <c r="D1396" s="55">
        <v>16.95</v>
      </c>
      <c r="E1396" s="56">
        <f>(PI()*(Pinus[[#This Row],[d_cm]]^2))/40000</f>
        <v>4.2091254722336893E-2</v>
      </c>
      <c r="F1396" s="56">
        <f>Pinus[[#This Row],[gi_m²]]*Pinus[[#This Row],[h_m]]*0.45</f>
        <v>0.32105104539462465</v>
      </c>
    </row>
    <row r="1397" spans="1:6" x14ac:dyDescent="0.3">
      <c r="A1397" s="37">
        <v>14</v>
      </c>
      <c r="B1397" s="37">
        <v>96</v>
      </c>
      <c r="C1397" s="55">
        <v>15.11</v>
      </c>
      <c r="D1397" s="55">
        <v>14.93</v>
      </c>
      <c r="E1397" s="56">
        <f>(PI()*(Pinus[[#This Row],[d_cm]]^2))/40000</f>
        <v>1.7931590402141456E-2</v>
      </c>
      <c r="F1397" s="56">
        <f>Pinus[[#This Row],[gi_m²]]*Pinus[[#This Row],[h_m]]*0.45</f>
        <v>0.12047339011678737</v>
      </c>
    </row>
    <row r="1398" spans="1:6" x14ac:dyDescent="0.3">
      <c r="A1398" s="37">
        <v>14</v>
      </c>
      <c r="B1398" s="37">
        <v>97</v>
      </c>
      <c r="C1398" s="55">
        <v>21.81</v>
      </c>
      <c r="D1398" s="55">
        <v>16.670000000000002</v>
      </c>
      <c r="E1398" s="56">
        <f>(PI()*(Pinus[[#This Row],[d_cm]]^2))/40000</f>
        <v>3.735951353120609E-2</v>
      </c>
      <c r="F1398" s="56">
        <f>Pinus[[#This Row],[gi_m²]]*Pinus[[#This Row],[h_m]]*0.45</f>
        <v>0.2802523907543425</v>
      </c>
    </row>
    <row r="1399" spans="1:6" x14ac:dyDescent="0.3">
      <c r="A1399" s="37">
        <v>14</v>
      </c>
      <c r="B1399" s="37">
        <v>98</v>
      </c>
      <c r="C1399" s="55">
        <v>24.6</v>
      </c>
      <c r="D1399" s="55">
        <v>17.239999999999998</v>
      </c>
      <c r="E1399" s="56">
        <f>(PI()*(Pinus[[#This Row],[d_cm]]^2))/40000</f>
        <v>4.7529155256159986E-2</v>
      </c>
      <c r="F1399" s="56">
        <f>Pinus[[#This Row],[gi_m²]]*Pinus[[#This Row],[h_m]]*0.45</f>
        <v>0.36873118647728914</v>
      </c>
    </row>
    <row r="1400" spans="1:6" x14ac:dyDescent="0.3">
      <c r="A1400" s="37">
        <v>14</v>
      </c>
      <c r="B1400" s="37">
        <v>99</v>
      </c>
      <c r="C1400" s="55">
        <v>20.67</v>
      </c>
      <c r="D1400" s="55">
        <v>16.41</v>
      </c>
      <c r="E1400" s="56">
        <f>(PI()*(Pinus[[#This Row],[d_cm]]^2))/40000</f>
        <v>3.3556050137358004E-2</v>
      </c>
      <c r="F1400" s="56">
        <f>Pinus[[#This Row],[gi_m²]]*Pinus[[#This Row],[h_m]]*0.45</f>
        <v>0.24779465223932021</v>
      </c>
    </row>
    <row r="1401" spans="1:6" x14ac:dyDescent="0.3">
      <c r="A1401" s="37">
        <v>14</v>
      </c>
      <c r="B1401" s="37">
        <v>100</v>
      </c>
      <c r="C1401" s="55">
        <v>17.739999999999998</v>
      </c>
      <c r="D1401" s="55">
        <v>15.69</v>
      </c>
      <c r="E1401" s="56">
        <f>(PI()*(Pinus[[#This Row],[d_cm]]^2))/40000</f>
        <v>2.4717077104721874E-2</v>
      </c>
      <c r="F1401" s="56">
        <f>Pinus[[#This Row],[gi_m²]]*Pinus[[#This Row],[h_m]]*0.45</f>
        <v>0.17451492289788878</v>
      </c>
    </row>
    <row r="1402" spans="1:6" x14ac:dyDescent="0.3">
      <c r="A1402" s="37">
        <v>15</v>
      </c>
      <c r="B1402" s="37">
        <v>1</v>
      </c>
      <c r="C1402" s="55">
        <v>15.66</v>
      </c>
      <c r="D1402" s="55">
        <v>21.63</v>
      </c>
      <c r="E1402" s="56">
        <f>(PI()*(Pinus[[#This Row],[d_cm]]^2))/40000</f>
        <v>1.9260758983967129E-2</v>
      </c>
      <c r="F1402" s="56">
        <f>Pinus[[#This Row],[gi_m²]]*Pinus[[#This Row],[h_m]]*0.45</f>
        <v>0.18747459757044405</v>
      </c>
    </row>
    <row r="1403" spans="1:6" x14ac:dyDescent="0.3">
      <c r="A1403" s="37">
        <v>15</v>
      </c>
      <c r="B1403" s="37">
        <v>2</v>
      </c>
      <c r="C1403" s="55">
        <v>17.34</v>
      </c>
      <c r="D1403" s="55">
        <v>22.32</v>
      </c>
      <c r="E1403" s="56">
        <f>(PI()*(Pinus[[#This Row],[d_cm]]^2))/40000</f>
        <v>2.3615006401842577E-2</v>
      </c>
      <c r="F1403" s="56">
        <f>Pinus[[#This Row],[gi_m²]]*Pinus[[#This Row],[h_m]]*0.45</f>
        <v>0.23718912430010688</v>
      </c>
    </row>
    <row r="1404" spans="1:6" x14ac:dyDescent="0.3">
      <c r="A1404" s="37">
        <v>15</v>
      </c>
      <c r="B1404" s="37">
        <v>3</v>
      </c>
      <c r="C1404" s="55">
        <v>22.86</v>
      </c>
      <c r="D1404" s="55">
        <v>24.2</v>
      </c>
      <c r="E1404" s="56">
        <f>(PI()*(Pinus[[#This Row],[d_cm]]^2))/40000</f>
        <v>4.1043305806897322E-2</v>
      </c>
      <c r="F1404" s="56">
        <f>Pinus[[#This Row],[gi_m²]]*Pinus[[#This Row],[h_m]]*0.45</f>
        <v>0.44696160023711184</v>
      </c>
    </row>
    <row r="1405" spans="1:6" x14ac:dyDescent="0.3">
      <c r="A1405" s="37">
        <v>15</v>
      </c>
      <c r="B1405" s="37">
        <v>4</v>
      </c>
      <c r="C1405" s="55">
        <v>18.27</v>
      </c>
      <c r="D1405" s="55">
        <v>22.68</v>
      </c>
      <c r="E1405" s="56">
        <f>(PI()*(Pinus[[#This Row],[d_cm]]^2))/40000</f>
        <v>2.6216033061510807E-2</v>
      </c>
      <c r="F1405" s="56">
        <f>Pinus[[#This Row],[gi_m²]]*Pinus[[#This Row],[h_m]]*0.45</f>
        <v>0.2675608334257793</v>
      </c>
    </row>
    <row r="1406" spans="1:6" x14ac:dyDescent="0.3">
      <c r="A1406" s="37">
        <v>15</v>
      </c>
      <c r="B1406" s="37">
        <v>5</v>
      </c>
      <c r="C1406" s="55">
        <v>20.91</v>
      </c>
      <c r="D1406" s="55">
        <v>23.59</v>
      </c>
      <c r="E1406" s="56">
        <f>(PI()*(Pinus[[#This Row],[d_cm]]^2))/40000</f>
        <v>3.4339814672575582E-2</v>
      </c>
      <c r="F1406" s="56">
        <f>Pinus[[#This Row],[gi_m²]]*Pinus[[#This Row],[h_m]]*0.45</f>
        <v>0.36453430265672609</v>
      </c>
    </row>
    <row r="1407" spans="1:6" x14ac:dyDescent="0.3">
      <c r="A1407" s="37">
        <v>15</v>
      </c>
      <c r="B1407" s="37">
        <v>6</v>
      </c>
      <c r="C1407" s="55">
        <v>25.18</v>
      </c>
      <c r="D1407" s="55">
        <v>24.85</v>
      </c>
      <c r="E1407" s="56">
        <f>(PI()*(Pinus[[#This Row],[d_cm]]^2))/40000</f>
        <v>4.9796788249447624E-2</v>
      </c>
      <c r="F1407" s="56">
        <f>Pinus[[#This Row],[gi_m²]]*Pinus[[#This Row],[h_m]]*0.45</f>
        <v>0.55685258459944809</v>
      </c>
    </row>
    <row r="1408" spans="1:6" x14ac:dyDescent="0.3">
      <c r="A1408" s="37">
        <v>15</v>
      </c>
      <c r="B1408" s="37">
        <v>7</v>
      </c>
      <c r="C1408" s="55">
        <v>22.31</v>
      </c>
      <c r="D1408" s="55">
        <v>24.03</v>
      </c>
      <c r="E1408" s="56">
        <f>(PI()*(Pinus[[#This Row],[d_cm]]^2))/40000</f>
        <v>3.9092101879660862E-2</v>
      </c>
      <c r="F1408" s="56">
        <f>Pinus[[#This Row],[gi_m²]]*Pinus[[#This Row],[h_m]]*0.45</f>
        <v>0.42272244367571277</v>
      </c>
    </row>
    <row r="1409" spans="1:6" x14ac:dyDescent="0.3">
      <c r="A1409" s="37">
        <v>15</v>
      </c>
      <c r="B1409" s="37">
        <v>8</v>
      </c>
      <c r="C1409" s="55">
        <v>25.46</v>
      </c>
      <c r="D1409" s="55">
        <v>24.93</v>
      </c>
      <c r="E1409" s="56">
        <f>(PI()*(Pinus[[#This Row],[d_cm]]^2))/40000</f>
        <v>5.0910420013292143E-2</v>
      </c>
      <c r="F1409" s="56">
        <f>Pinus[[#This Row],[gi_m²]]*Pinus[[#This Row],[h_m]]*0.45</f>
        <v>0.57113854691911792</v>
      </c>
    </row>
    <row r="1410" spans="1:6" x14ac:dyDescent="0.3">
      <c r="A1410" s="37">
        <v>15</v>
      </c>
      <c r="B1410" s="37">
        <v>9</v>
      </c>
      <c r="C1410" s="55">
        <v>13.19</v>
      </c>
      <c r="D1410" s="55">
        <v>20.46</v>
      </c>
      <c r="E1410" s="56">
        <f>(PI()*(Pinus[[#This Row],[d_cm]]^2))/40000</f>
        <v>1.3664050941505079E-2</v>
      </c>
      <c r="F1410" s="56">
        <f>Pinus[[#This Row],[gi_m²]]*Pinus[[#This Row],[h_m]]*0.45</f>
        <v>0.12580491701843727</v>
      </c>
    </row>
    <row r="1411" spans="1:6" x14ac:dyDescent="0.3">
      <c r="A1411" s="37">
        <v>15</v>
      </c>
      <c r="B1411" s="37">
        <v>10</v>
      </c>
      <c r="C1411" s="55">
        <v>18.88</v>
      </c>
      <c r="D1411" s="55">
        <v>22.9</v>
      </c>
      <c r="E1411" s="56">
        <f>(PI()*(Pinus[[#This Row],[d_cm]]^2))/40000</f>
        <v>2.7995863109493934E-2</v>
      </c>
      <c r="F1411" s="56">
        <f>Pinus[[#This Row],[gi_m²]]*Pinus[[#This Row],[h_m]]*0.45</f>
        <v>0.28849736934333498</v>
      </c>
    </row>
    <row r="1412" spans="1:6" x14ac:dyDescent="0.3">
      <c r="A1412" s="37">
        <v>15</v>
      </c>
      <c r="B1412" s="37">
        <v>11</v>
      </c>
      <c r="C1412" s="55">
        <v>20.260000000000002</v>
      </c>
      <c r="D1412" s="55">
        <v>23.38</v>
      </c>
      <c r="E1412" s="56">
        <f>(PI()*(Pinus[[#This Row],[d_cm]]^2))/40000</f>
        <v>3.2238049917415849E-2</v>
      </c>
      <c r="F1412" s="56">
        <f>Pinus[[#This Row],[gi_m²]]*Pinus[[#This Row],[h_m]]*0.45</f>
        <v>0.33917652318113217</v>
      </c>
    </row>
    <row r="1413" spans="1:6" x14ac:dyDescent="0.3">
      <c r="A1413" s="37">
        <v>15</v>
      </c>
      <c r="B1413" s="37">
        <v>12</v>
      </c>
      <c r="C1413" s="55">
        <v>22.31</v>
      </c>
      <c r="D1413" s="55">
        <v>24.03</v>
      </c>
      <c r="E1413" s="56">
        <f>(PI()*(Pinus[[#This Row],[d_cm]]^2))/40000</f>
        <v>3.9092101879660862E-2</v>
      </c>
      <c r="F1413" s="56">
        <f>Pinus[[#This Row],[gi_m²]]*Pinus[[#This Row],[h_m]]*0.45</f>
        <v>0.42272244367571277</v>
      </c>
    </row>
    <row r="1414" spans="1:6" x14ac:dyDescent="0.3">
      <c r="A1414" s="37">
        <v>15</v>
      </c>
      <c r="B1414" s="37">
        <v>13</v>
      </c>
      <c r="C1414" s="55">
        <v>15.32</v>
      </c>
      <c r="D1414" s="55">
        <v>21.48</v>
      </c>
      <c r="E1414" s="56">
        <f>(PI()*(Pinus[[#This Row],[d_cm]]^2))/40000</f>
        <v>1.8433483390497326E-2</v>
      </c>
      <c r="F1414" s="56">
        <f>Pinus[[#This Row],[gi_m²]]*Pinus[[#This Row],[h_m]]*0.45</f>
        <v>0.17817805045254717</v>
      </c>
    </row>
    <row r="1415" spans="1:6" x14ac:dyDescent="0.3">
      <c r="A1415" s="37">
        <v>15</v>
      </c>
      <c r="B1415" s="37">
        <v>14</v>
      </c>
      <c r="C1415" s="55">
        <v>23.22</v>
      </c>
      <c r="D1415" s="55">
        <v>24.31</v>
      </c>
      <c r="E1415" s="56">
        <f>(PI()*(Pinus[[#This Row],[d_cm]]^2))/40000</f>
        <v>4.2346187112194067E-2</v>
      </c>
      <c r="F1415" s="56">
        <f>Pinus[[#This Row],[gi_m²]]*Pinus[[#This Row],[h_m]]*0.45</f>
        <v>0.46324611391384701</v>
      </c>
    </row>
    <row r="1416" spans="1:6" x14ac:dyDescent="0.3">
      <c r="A1416" s="37">
        <v>15</v>
      </c>
      <c r="B1416" s="37">
        <v>15</v>
      </c>
      <c r="C1416" s="55">
        <v>21.23</v>
      </c>
      <c r="D1416" s="55">
        <v>23.7</v>
      </c>
      <c r="E1416" s="56">
        <f>(PI()*(Pinus[[#This Row],[d_cm]]^2))/40000</f>
        <v>3.5398908387953773E-2</v>
      </c>
      <c r="F1416" s="56">
        <f>Pinus[[#This Row],[gi_m²]]*Pinus[[#This Row],[h_m]]*0.45</f>
        <v>0.37752935795752696</v>
      </c>
    </row>
    <row r="1417" spans="1:6" x14ac:dyDescent="0.3">
      <c r="A1417" s="37">
        <v>15</v>
      </c>
      <c r="B1417" s="37">
        <v>16</v>
      </c>
      <c r="C1417" s="55">
        <v>21.06</v>
      </c>
      <c r="D1417" s="55">
        <v>23.64</v>
      </c>
      <c r="E1417" s="56">
        <f>(PI()*(Pinus[[#This Row],[d_cm]]^2))/40000</f>
        <v>3.4834262086342445E-2</v>
      </c>
      <c r="F1417" s="56">
        <f>Pinus[[#This Row],[gi_m²]]*Pinus[[#This Row],[h_m]]*0.45</f>
        <v>0.37056688007451094</v>
      </c>
    </row>
    <row r="1418" spans="1:6" x14ac:dyDescent="0.3">
      <c r="A1418" s="37">
        <v>15</v>
      </c>
      <c r="B1418" s="37">
        <v>17</v>
      </c>
      <c r="C1418" s="55">
        <v>22.03</v>
      </c>
      <c r="D1418" s="55">
        <v>23.95</v>
      </c>
      <c r="E1418" s="56">
        <f>(PI()*(Pinus[[#This Row],[d_cm]]^2))/40000</f>
        <v>3.8117014351839666E-2</v>
      </c>
      <c r="F1418" s="56">
        <f>Pinus[[#This Row],[gi_m²]]*Pinus[[#This Row],[h_m]]*0.45</f>
        <v>0.410806122176952</v>
      </c>
    </row>
    <row r="1419" spans="1:6" x14ac:dyDescent="0.3">
      <c r="A1419" s="37">
        <v>15</v>
      </c>
      <c r="B1419" s="37">
        <v>18</v>
      </c>
      <c r="C1419" s="55">
        <v>19.53</v>
      </c>
      <c r="D1419" s="55">
        <v>23.13</v>
      </c>
      <c r="E1419" s="56">
        <f>(PI()*(Pinus[[#This Row],[d_cm]]^2))/40000</f>
        <v>2.9956727434140181E-2</v>
      </c>
      <c r="F1419" s="56">
        <f>Pinus[[#This Row],[gi_m²]]*Pinus[[#This Row],[h_m]]*0.45</f>
        <v>0.31180459749824807</v>
      </c>
    </row>
    <row r="1420" spans="1:6" x14ac:dyDescent="0.3">
      <c r="A1420" s="37">
        <v>15</v>
      </c>
      <c r="B1420" s="37">
        <v>19</v>
      </c>
      <c r="C1420" s="55">
        <v>23.7</v>
      </c>
      <c r="D1420" s="55">
        <v>24.44</v>
      </c>
      <c r="E1420" s="56">
        <f>(PI()*(Pinus[[#This Row],[d_cm]]^2))/40000</f>
        <v>4.4115029439871264E-2</v>
      </c>
      <c r="F1420" s="56">
        <f>Pinus[[#This Row],[gi_m²]]*Pinus[[#This Row],[h_m]]*0.45</f>
        <v>0.48517709377970425</v>
      </c>
    </row>
    <row r="1421" spans="1:6" x14ac:dyDescent="0.3">
      <c r="A1421" s="37">
        <v>15</v>
      </c>
      <c r="B1421" s="37">
        <v>20</v>
      </c>
      <c r="C1421" s="55">
        <v>22.59</v>
      </c>
      <c r="D1421" s="55">
        <v>24.12</v>
      </c>
      <c r="E1421" s="56">
        <f>(PI()*(Pinus[[#This Row],[d_cm]]^2))/40000</f>
        <v>4.0079504450684138E-2</v>
      </c>
      <c r="F1421" s="56">
        <f>Pinus[[#This Row],[gi_m²]]*Pinus[[#This Row],[h_m]]*0.45</f>
        <v>0.43502294130772567</v>
      </c>
    </row>
    <row r="1422" spans="1:6" x14ac:dyDescent="0.3">
      <c r="A1422" s="37">
        <v>15</v>
      </c>
      <c r="B1422" s="37">
        <v>21</v>
      </c>
      <c r="C1422" s="55">
        <v>19.399999999999999</v>
      </c>
      <c r="D1422" s="55">
        <v>23.08</v>
      </c>
      <c r="E1422" s="56">
        <f>(PI()*(Pinus[[#This Row],[d_cm]]^2))/40000</f>
        <v>2.9559245277626361E-2</v>
      </c>
      <c r="F1422" s="56">
        <f>Pinus[[#This Row],[gi_m²]]*Pinus[[#This Row],[h_m]]*0.45</f>
        <v>0.30700232145342737</v>
      </c>
    </row>
    <row r="1423" spans="1:6" x14ac:dyDescent="0.3">
      <c r="A1423" s="37">
        <v>15</v>
      </c>
      <c r="B1423" s="37">
        <v>22</v>
      </c>
      <c r="C1423" s="55">
        <v>24.16</v>
      </c>
      <c r="D1423" s="55">
        <v>24.57</v>
      </c>
      <c r="E1423" s="56">
        <f>(PI()*(Pinus[[#This Row],[d_cm]]^2))/40000</f>
        <v>4.584413062048056E-2</v>
      </c>
      <c r="F1423" s="56">
        <f>Pinus[[#This Row],[gi_m²]]*Pinus[[#This Row],[h_m]]*0.45</f>
        <v>0.50687563020534332</v>
      </c>
    </row>
    <row r="1424" spans="1:6" x14ac:dyDescent="0.3">
      <c r="A1424" s="37">
        <v>15</v>
      </c>
      <c r="B1424" s="37">
        <v>23</v>
      </c>
      <c r="C1424" s="55">
        <v>21.17</v>
      </c>
      <c r="D1424" s="55">
        <v>23.68</v>
      </c>
      <c r="E1424" s="56">
        <f>(PI()*(Pinus[[#This Row],[d_cm]]^2))/40000</f>
        <v>3.5199103095185473E-2</v>
      </c>
      <c r="F1424" s="56">
        <f>Pinus[[#This Row],[gi_m²]]*Pinus[[#This Row],[h_m]]*0.45</f>
        <v>0.37508164258229643</v>
      </c>
    </row>
    <row r="1425" spans="1:6" x14ac:dyDescent="0.3">
      <c r="A1425" s="37">
        <v>15</v>
      </c>
      <c r="B1425" s="37">
        <v>24</v>
      </c>
      <c r="C1425" s="55">
        <v>22.68</v>
      </c>
      <c r="D1425" s="55">
        <v>24.14</v>
      </c>
      <c r="E1425" s="56">
        <f>(PI()*(Pinus[[#This Row],[d_cm]]^2))/40000</f>
        <v>4.0399499224397159E-2</v>
      </c>
      <c r="F1425" s="56">
        <f>Pinus[[#This Row],[gi_m²]]*Pinus[[#This Row],[h_m]]*0.45</f>
        <v>0.43885976007462635</v>
      </c>
    </row>
    <row r="1426" spans="1:6" x14ac:dyDescent="0.3">
      <c r="A1426" s="37">
        <v>15</v>
      </c>
      <c r="B1426" s="37">
        <v>25</v>
      </c>
      <c r="C1426" s="55">
        <v>17.62</v>
      </c>
      <c r="D1426" s="55">
        <v>22.43</v>
      </c>
      <c r="E1426" s="56">
        <f>(PI()*(Pinus[[#This Row],[d_cm]]^2))/40000</f>
        <v>2.4383816956029074E-2</v>
      </c>
      <c r="F1426" s="56">
        <f>Pinus[[#This Row],[gi_m²]]*Pinus[[#This Row],[h_m]]*0.45</f>
        <v>0.24611805644567944</v>
      </c>
    </row>
    <row r="1427" spans="1:6" x14ac:dyDescent="0.3">
      <c r="A1427" s="37">
        <v>15</v>
      </c>
      <c r="B1427" s="37">
        <v>26</v>
      </c>
      <c r="C1427" s="55">
        <v>26.32</v>
      </c>
      <c r="D1427" s="55">
        <v>25.16</v>
      </c>
      <c r="E1427" s="56">
        <f>(PI()*(Pinus[[#This Row],[d_cm]]^2))/40000</f>
        <v>5.4407860866754046E-2</v>
      </c>
      <c r="F1427" s="56">
        <f>Pinus[[#This Row],[gi_m²]]*Pinus[[#This Row],[h_m]]*0.45</f>
        <v>0.61600580073338929</v>
      </c>
    </row>
    <row r="1428" spans="1:6" x14ac:dyDescent="0.3">
      <c r="A1428" s="37">
        <v>15</v>
      </c>
      <c r="B1428" s="37">
        <v>27</v>
      </c>
      <c r="C1428" s="55">
        <v>19.98</v>
      </c>
      <c r="D1428" s="55">
        <v>23.28</v>
      </c>
      <c r="E1428" s="56">
        <f>(PI()*(Pinus[[#This Row],[d_cm]]^2))/40000</f>
        <v>3.1353126098752668E-2</v>
      </c>
      <c r="F1428" s="56">
        <f>Pinus[[#This Row],[gi_m²]]*Pinus[[#This Row],[h_m]]*0.45</f>
        <v>0.32845534901053297</v>
      </c>
    </row>
    <row r="1429" spans="1:6" x14ac:dyDescent="0.3">
      <c r="A1429" s="37">
        <v>15</v>
      </c>
      <c r="B1429" s="37">
        <v>28</v>
      </c>
      <c r="C1429" s="55">
        <v>23.39</v>
      </c>
      <c r="D1429" s="55">
        <v>24.35</v>
      </c>
      <c r="E1429" s="56">
        <f>(PI()*(Pinus[[#This Row],[d_cm]]^2))/40000</f>
        <v>4.2968513054925321E-2</v>
      </c>
      <c r="F1429" s="56">
        <f>Pinus[[#This Row],[gi_m²]]*Pinus[[#This Row],[h_m]]*0.45</f>
        <v>0.47082748179934431</v>
      </c>
    </row>
    <row r="1430" spans="1:6" x14ac:dyDescent="0.3">
      <c r="A1430" s="37">
        <v>15</v>
      </c>
      <c r="B1430" s="37">
        <v>29</v>
      </c>
      <c r="C1430" s="55">
        <v>19.600000000000001</v>
      </c>
      <c r="D1430" s="55">
        <v>23.15</v>
      </c>
      <c r="E1430" s="56">
        <f>(PI()*(Pinus[[#This Row],[d_cm]]^2))/40000</f>
        <v>3.0171855845076378E-2</v>
      </c>
      <c r="F1430" s="56">
        <f>Pinus[[#This Row],[gi_m²]]*Pinus[[#This Row],[h_m]]*0.45</f>
        <v>0.31431530826608317</v>
      </c>
    </row>
    <row r="1431" spans="1:6" x14ac:dyDescent="0.3">
      <c r="A1431" s="37">
        <v>15</v>
      </c>
      <c r="B1431" s="37">
        <v>30</v>
      </c>
      <c r="C1431" s="55">
        <v>18.88</v>
      </c>
      <c r="D1431" s="55">
        <v>22.9</v>
      </c>
      <c r="E1431" s="56">
        <f>(PI()*(Pinus[[#This Row],[d_cm]]^2))/40000</f>
        <v>2.7995863109493934E-2</v>
      </c>
      <c r="F1431" s="56">
        <f>Pinus[[#This Row],[gi_m²]]*Pinus[[#This Row],[h_m]]*0.45</f>
        <v>0.28849736934333498</v>
      </c>
    </row>
    <row r="1432" spans="1:6" x14ac:dyDescent="0.3">
      <c r="A1432" s="37">
        <v>15</v>
      </c>
      <c r="B1432" s="37">
        <v>31</v>
      </c>
      <c r="C1432" s="55">
        <v>23.14</v>
      </c>
      <c r="D1432" s="55">
        <v>24.28</v>
      </c>
      <c r="E1432" s="56">
        <f>(PI()*(Pinus[[#This Row],[d_cm]]^2))/40000</f>
        <v>4.2054898641353228E-2</v>
      </c>
      <c r="F1432" s="56">
        <f>Pinus[[#This Row],[gi_m²]]*Pinus[[#This Row],[h_m]]*0.45</f>
        <v>0.45949182255542542</v>
      </c>
    </row>
    <row r="1433" spans="1:6" x14ac:dyDescent="0.3">
      <c r="A1433" s="37">
        <v>15</v>
      </c>
      <c r="B1433" s="37">
        <v>32</v>
      </c>
      <c r="C1433" s="55">
        <v>13.66</v>
      </c>
      <c r="D1433" s="55">
        <v>20.7</v>
      </c>
      <c r="E1433" s="56">
        <f>(PI()*(Pinus[[#This Row],[d_cm]]^2))/40000</f>
        <v>1.465518415380449E-2</v>
      </c>
      <c r="F1433" s="56">
        <f>Pinus[[#This Row],[gi_m²]]*Pinus[[#This Row],[h_m]]*0.45</f>
        <v>0.1365130403926888</v>
      </c>
    </row>
    <row r="1434" spans="1:6" x14ac:dyDescent="0.3">
      <c r="A1434" s="37">
        <v>15</v>
      </c>
      <c r="B1434" s="37">
        <v>33</v>
      </c>
      <c r="C1434" s="55">
        <v>21.91</v>
      </c>
      <c r="D1434" s="55">
        <v>23.91</v>
      </c>
      <c r="E1434" s="56">
        <f>(PI()*(Pinus[[#This Row],[d_cm]]^2))/40000</f>
        <v>3.7702889608243466E-2</v>
      </c>
      <c r="F1434" s="56">
        <f>Pinus[[#This Row],[gi_m²]]*Pinus[[#This Row],[h_m]]*0.45</f>
        <v>0.4056642407398956</v>
      </c>
    </row>
    <row r="1435" spans="1:6" x14ac:dyDescent="0.3">
      <c r="A1435" s="37">
        <v>15</v>
      </c>
      <c r="B1435" s="37">
        <v>34</v>
      </c>
      <c r="C1435" s="55">
        <v>21.57</v>
      </c>
      <c r="D1435" s="55">
        <v>23.81</v>
      </c>
      <c r="E1435" s="56">
        <f>(PI()*(Pinus[[#This Row],[d_cm]]^2))/40000</f>
        <v>3.654181979532975E-2</v>
      </c>
      <c r="F1435" s="56">
        <f>Pinus[[#This Row],[gi_m²]]*Pinus[[#This Row],[h_m]]*0.45</f>
        <v>0.3915273281970606</v>
      </c>
    </row>
    <row r="1436" spans="1:6" x14ac:dyDescent="0.3">
      <c r="A1436" s="37">
        <v>15</v>
      </c>
      <c r="B1436" s="37">
        <v>35</v>
      </c>
      <c r="C1436" s="55">
        <v>9.2200000000000006</v>
      </c>
      <c r="D1436" s="55">
        <v>18.03</v>
      </c>
      <c r="E1436" s="56">
        <f>(PI()*(Pinus[[#This Row],[d_cm]]^2))/40000</f>
        <v>6.6765441233355644E-3</v>
      </c>
      <c r="F1436" s="56">
        <f>Pinus[[#This Row],[gi_m²]]*Pinus[[#This Row],[h_m]]*0.45</f>
        <v>5.4170140744683105E-2</v>
      </c>
    </row>
    <row r="1437" spans="1:6" x14ac:dyDescent="0.3">
      <c r="A1437" s="37">
        <v>15</v>
      </c>
      <c r="B1437" s="37">
        <v>36</v>
      </c>
      <c r="C1437" s="55">
        <v>21.47</v>
      </c>
      <c r="D1437" s="55">
        <v>23.77</v>
      </c>
      <c r="E1437" s="56">
        <f>(PI()*(Pinus[[#This Row],[d_cm]]^2))/40000</f>
        <v>3.6203784425803472E-2</v>
      </c>
      <c r="F1437" s="56">
        <f>Pinus[[#This Row],[gi_m²]]*Pinus[[#This Row],[h_m]]*0.45</f>
        <v>0.38725378011060685</v>
      </c>
    </row>
    <row r="1438" spans="1:6" x14ac:dyDescent="0.3">
      <c r="A1438" s="37">
        <v>15</v>
      </c>
      <c r="B1438" s="37">
        <v>37</v>
      </c>
      <c r="C1438" s="55">
        <v>11.33</v>
      </c>
      <c r="D1438" s="55">
        <v>19.43</v>
      </c>
      <c r="E1438" s="56">
        <f>(PI()*(Pinus[[#This Row],[d_cm]]^2))/40000</f>
        <v>1.008206982973507E-2</v>
      </c>
      <c r="F1438" s="56">
        <f>Pinus[[#This Row],[gi_m²]]*Pinus[[#This Row],[h_m]]*0.45</f>
        <v>8.815257755628858E-2</v>
      </c>
    </row>
    <row r="1439" spans="1:6" x14ac:dyDescent="0.3">
      <c r="A1439" s="37">
        <v>15</v>
      </c>
      <c r="B1439" s="37">
        <v>38</v>
      </c>
      <c r="C1439" s="55">
        <v>22.64</v>
      </c>
      <c r="D1439" s="55">
        <v>24.13</v>
      </c>
      <c r="E1439" s="56">
        <f>(PI()*(Pinus[[#This Row],[d_cm]]^2))/40000</f>
        <v>4.0257122245336473E-2</v>
      </c>
      <c r="F1439" s="56">
        <f>Pinus[[#This Row],[gi_m²]]*Pinus[[#This Row],[h_m]]*0.45</f>
        <v>0.43713196190098608</v>
      </c>
    </row>
    <row r="1440" spans="1:6" x14ac:dyDescent="0.3">
      <c r="A1440" s="37">
        <v>15</v>
      </c>
      <c r="B1440" s="37">
        <v>39</v>
      </c>
      <c r="C1440" s="55">
        <v>18.18</v>
      </c>
      <c r="D1440" s="55">
        <v>22.64</v>
      </c>
      <c r="E1440" s="56">
        <f>(PI()*(Pinus[[#This Row],[d_cm]]^2))/40000</f>
        <v>2.595838319400828E-2</v>
      </c>
      <c r="F1440" s="56">
        <f>Pinus[[#This Row],[gi_m²]]*Pinus[[#This Row],[h_m]]*0.45</f>
        <v>0.26446400798055636</v>
      </c>
    </row>
    <row r="1441" spans="1:6" x14ac:dyDescent="0.3">
      <c r="A1441" s="37">
        <v>15</v>
      </c>
      <c r="B1441" s="37">
        <v>40</v>
      </c>
      <c r="C1441" s="55">
        <v>17.22</v>
      </c>
      <c r="D1441" s="55">
        <v>22.27</v>
      </c>
      <c r="E1441" s="56">
        <f>(PI()*(Pinus[[#This Row],[d_cm]]^2))/40000</f>
        <v>2.3289286075518386E-2</v>
      </c>
      <c r="F1441" s="56">
        <f>Pinus[[#This Row],[gi_m²]]*Pinus[[#This Row],[h_m]]*0.45</f>
        <v>0.23339358040580749</v>
      </c>
    </row>
    <row r="1442" spans="1:6" x14ac:dyDescent="0.3">
      <c r="A1442" s="37">
        <v>15</v>
      </c>
      <c r="B1442" s="37">
        <v>41</v>
      </c>
      <c r="C1442" s="55">
        <v>19.97</v>
      </c>
      <c r="D1442" s="55">
        <v>23.28</v>
      </c>
      <c r="E1442" s="56">
        <f>(PI()*(Pinus[[#This Row],[d_cm]]^2))/40000</f>
        <v>3.1321749442124937E-2</v>
      </c>
      <c r="F1442" s="56">
        <f>Pinus[[#This Row],[gi_m²]]*Pinus[[#This Row],[h_m]]*0.45</f>
        <v>0.32812664715570089</v>
      </c>
    </row>
    <row r="1443" spans="1:6" x14ac:dyDescent="0.3">
      <c r="A1443" s="37">
        <v>15</v>
      </c>
      <c r="B1443" s="37">
        <v>42</v>
      </c>
      <c r="C1443" s="55">
        <v>25.49</v>
      </c>
      <c r="D1443" s="55">
        <v>24.94</v>
      </c>
      <c r="E1443" s="56">
        <f>(PI()*(Pinus[[#This Row],[d_cm]]^2))/40000</f>
        <v>5.1030468122567431E-2</v>
      </c>
      <c r="F1443" s="56">
        <f>Pinus[[#This Row],[gi_m²]]*Pinus[[#This Row],[h_m]]*0.45</f>
        <v>0.57271494373957432</v>
      </c>
    </row>
    <row r="1444" spans="1:6" x14ac:dyDescent="0.3">
      <c r="A1444" s="37">
        <v>15</v>
      </c>
      <c r="B1444" s="37">
        <v>43</v>
      </c>
      <c r="C1444" s="55">
        <v>17.46</v>
      </c>
      <c r="D1444" s="55">
        <v>22.37</v>
      </c>
      <c r="E1444" s="56">
        <f>(PI()*(Pinus[[#This Row],[d_cm]]^2))/40000</f>
        <v>2.3942988674877354E-2</v>
      </c>
      <c r="F1444" s="56">
        <f>Pinus[[#This Row],[gi_m²]]*Pinus[[#This Row],[h_m]]*0.45</f>
        <v>0.2410220954956529</v>
      </c>
    </row>
    <row r="1445" spans="1:6" x14ac:dyDescent="0.3">
      <c r="A1445" s="37">
        <v>15</v>
      </c>
      <c r="B1445" s="37">
        <v>44</v>
      </c>
      <c r="C1445" s="55">
        <v>22.23</v>
      </c>
      <c r="D1445" s="55">
        <v>24.01</v>
      </c>
      <c r="E1445" s="56">
        <f>(PI()*(Pinus[[#This Row],[d_cm]]^2))/40000</f>
        <v>3.8812248806079086E-2</v>
      </c>
      <c r="F1445" s="56">
        <f>Pinus[[#This Row],[gi_m²]]*Pinus[[#This Row],[h_m]]*0.45</f>
        <v>0.41934694222528152</v>
      </c>
    </row>
    <row r="1446" spans="1:6" x14ac:dyDescent="0.3">
      <c r="A1446" s="37">
        <v>15</v>
      </c>
      <c r="B1446" s="37">
        <v>45</v>
      </c>
      <c r="C1446" s="55">
        <v>21.36</v>
      </c>
      <c r="D1446" s="55">
        <v>23.74</v>
      </c>
      <c r="E1446" s="56">
        <f>(PI()*(Pinus[[#This Row],[d_cm]]^2))/40000</f>
        <v>3.5833759789082043E-2</v>
      </c>
      <c r="F1446" s="56">
        <f>Pinus[[#This Row],[gi_m²]]*Pinus[[#This Row],[h_m]]*0.45</f>
        <v>0.38281205582676348</v>
      </c>
    </row>
    <row r="1447" spans="1:6" x14ac:dyDescent="0.3">
      <c r="A1447" s="37">
        <v>15</v>
      </c>
      <c r="B1447" s="37">
        <v>46</v>
      </c>
      <c r="C1447" s="55">
        <v>15.28</v>
      </c>
      <c r="D1447" s="55">
        <v>21.46</v>
      </c>
      <c r="E1447" s="56">
        <f>(PI()*(Pinus[[#This Row],[d_cm]]^2))/40000</f>
        <v>1.8337350655297478E-2</v>
      </c>
      <c r="F1447" s="56">
        <f>Pinus[[#This Row],[gi_m²]]*Pinus[[#This Row],[h_m]]*0.45</f>
        <v>0.17708379527820775</v>
      </c>
    </row>
    <row r="1448" spans="1:6" x14ac:dyDescent="0.3">
      <c r="A1448" s="37">
        <v>15</v>
      </c>
      <c r="B1448" s="37">
        <v>47</v>
      </c>
      <c r="C1448" s="55">
        <v>13.04</v>
      </c>
      <c r="D1448" s="55">
        <v>20.38</v>
      </c>
      <c r="E1448" s="56">
        <f>(PI()*(Pinus[[#This Row],[d_cm]]^2))/40000</f>
        <v>1.3355036034116353E-2</v>
      </c>
      <c r="F1448" s="56">
        <f>Pinus[[#This Row],[gi_m²]]*Pinus[[#This Row],[h_m]]*0.45</f>
        <v>0.12247903546888106</v>
      </c>
    </row>
    <row r="1449" spans="1:6" x14ac:dyDescent="0.3">
      <c r="A1449" s="37">
        <v>15</v>
      </c>
      <c r="B1449" s="37">
        <v>48</v>
      </c>
      <c r="C1449" s="55">
        <v>12.03</v>
      </c>
      <c r="D1449" s="55">
        <v>19.84</v>
      </c>
      <c r="E1449" s="56">
        <f>(PI()*(Pinus[[#This Row],[d_cm]]^2))/40000</f>
        <v>1.1366352906522574E-2</v>
      </c>
      <c r="F1449" s="56">
        <f>Pinus[[#This Row],[gi_m²]]*Pinus[[#This Row],[h_m]]*0.45</f>
        <v>0.10147879874943354</v>
      </c>
    </row>
    <row r="1450" spans="1:6" x14ac:dyDescent="0.3">
      <c r="A1450" s="37">
        <v>15</v>
      </c>
      <c r="B1450" s="37">
        <v>49</v>
      </c>
      <c r="C1450" s="55">
        <v>22.21</v>
      </c>
      <c r="D1450" s="55">
        <v>24</v>
      </c>
      <c r="E1450" s="56">
        <f>(PI()*(Pinus[[#This Row],[d_cm]]^2))/40000</f>
        <v>3.8742442617316325E-2</v>
      </c>
      <c r="F1450" s="56">
        <f>Pinus[[#This Row],[gi_m²]]*Pinus[[#This Row],[h_m]]*0.45</f>
        <v>0.41841838026701633</v>
      </c>
    </row>
    <row r="1451" spans="1:6" x14ac:dyDescent="0.3">
      <c r="A1451" s="37">
        <v>15</v>
      </c>
      <c r="B1451" s="37">
        <v>50</v>
      </c>
      <c r="C1451" s="55">
        <v>19.86</v>
      </c>
      <c r="D1451" s="55">
        <v>23.24</v>
      </c>
      <c r="E1451" s="56">
        <f>(PI()*(Pinus[[#This Row],[d_cm]]^2))/40000</f>
        <v>3.0977642944795623E-2</v>
      </c>
      <c r="F1451" s="56">
        <f>Pinus[[#This Row],[gi_m²]]*Pinus[[#This Row],[h_m]]*0.45</f>
        <v>0.32396418991667258</v>
      </c>
    </row>
    <row r="1452" spans="1:6" x14ac:dyDescent="0.3">
      <c r="A1452" s="37">
        <v>15</v>
      </c>
      <c r="B1452" s="37">
        <v>51</v>
      </c>
      <c r="C1452" s="55">
        <v>27.4</v>
      </c>
      <c r="D1452" s="55">
        <v>25.43</v>
      </c>
      <c r="E1452" s="56">
        <f>(PI()*(Pinus[[#This Row],[d_cm]]^2))/40000</f>
        <v>5.8964552515226816E-2</v>
      </c>
      <c r="F1452" s="56">
        <f>Pinus[[#This Row],[gi_m²]]*Pinus[[#This Row],[h_m]]*0.45</f>
        <v>0.67476085670799812</v>
      </c>
    </row>
    <row r="1453" spans="1:6" x14ac:dyDescent="0.3">
      <c r="A1453" s="37">
        <v>15</v>
      </c>
      <c r="B1453" s="37">
        <v>52</v>
      </c>
      <c r="C1453" s="55">
        <v>22.29</v>
      </c>
      <c r="D1453" s="55">
        <v>24.03</v>
      </c>
      <c r="E1453" s="56">
        <f>(PI()*(Pinus[[#This Row],[d_cm]]^2))/40000</f>
        <v>3.902204436348581E-2</v>
      </c>
      <c r="F1453" s="56">
        <f>Pinus[[#This Row],[gi_m²]]*Pinus[[#This Row],[h_m]]*0.45</f>
        <v>0.42196487672455385</v>
      </c>
    </row>
    <row r="1454" spans="1:6" x14ac:dyDescent="0.3">
      <c r="A1454" s="37">
        <v>15</v>
      </c>
      <c r="B1454" s="37">
        <v>53</v>
      </c>
      <c r="C1454" s="55">
        <v>23.4</v>
      </c>
      <c r="D1454" s="55">
        <v>24.36</v>
      </c>
      <c r="E1454" s="56">
        <f>(PI()*(Pinus[[#This Row],[d_cm]]^2))/40000</f>
        <v>4.300526183499067E-2</v>
      </c>
      <c r="F1454" s="56">
        <f>Pinus[[#This Row],[gi_m²]]*Pinus[[#This Row],[h_m]]*0.45</f>
        <v>0.47142368023516779</v>
      </c>
    </row>
    <row r="1455" spans="1:6" x14ac:dyDescent="0.3">
      <c r="A1455" s="37">
        <v>15</v>
      </c>
      <c r="B1455" s="37">
        <v>54</v>
      </c>
      <c r="C1455" s="55">
        <v>25.34</v>
      </c>
      <c r="D1455" s="55">
        <v>24.9</v>
      </c>
      <c r="E1455" s="56">
        <f>(PI()*(Pinus[[#This Row],[d_cm]]^2))/40000</f>
        <v>5.0431641292885056E-2</v>
      </c>
      <c r="F1455" s="56">
        <f>Pinus[[#This Row],[gi_m²]]*Pinus[[#This Row],[h_m]]*0.45</f>
        <v>0.56508654068677699</v>
      </c>
    </row>
    <row r="1456" spans="1:6" x14ac:dyDescent="0.3">
      <c r="A1456" s="37">
        <v>15</v>
      </c>
      <c r="B1456" s="37">
        <v>55</v>
      </c>
      <c r="C1456" s="55">
        <v>18</v>
      </c>
      <c r="D1456" s="55">
        <v>22.57</v>
      </c>
      <c r="E1456" s="56">
        <f>(PI()*(Pinus[[#This Row],[d_cm]]^2))/40000</f>
        <v>2.5446900494077322E-2</v>
      </c>
      <c r="F1456" s="56">
        <f>Pinus[[#This Row],[gi_m²]]*Pinus[[#This Row],[h_m]]*0.45</f>
        <v>0.25845144486809635</v>
      </c>
    </row>
    <row r="1457" spans="1:6" x14ac:dyDescent="0.3">
      <c r="A1457" s="37">
        <v>15</v>
      </c>
      <c r="B1457" s="37">
        <v>56</v>
      </c>
      <c r="C1457" s="55">
        <v>22.04</v>
      </c>
      <c r="D1457" s="55">
        <v>23.95</v>
      </c>
      <c r="E1457" s="56">
        <f>(PI()*(Pinus[[#This Row],[d_cm]]^2))/40000</f>
        <v>3.815162684890059E-2</v>
      </c>
      <c r="F1457" s="56">
        <f>Pinus[[#This Row],[gi_m²]]*Pinus[[#This Row],[h_m]]*0.45</f>
        <v>0.41117915836402613</v>
      </c>
    </row>
    <row r="1458" spans="1:6" x14ac:dyDescent="0.3">
      <c r="A1458" s="37">
        <v>15</v>
      </c>
      <c r="B1458" s="37">
        <v>57</v>
      </c>
      <c r="C1458" s="55">
        <v>23.48</v>
      </c>
      <c r="D1458" s="55">
        <v>24.38</v>
      </c>
      <c r="E1458" s="56">
        <f>(PI()*(Pinus[[#This Row],[d_cm]]^2))/40000</f>
        <v>4.3299817562191263E-2</v>
      </c>
      <c r="F1458" s="56">
        <f>Pinus[[#This Row],[gi_m²]]*Pinus[[#This Row],[h_m]]*0.45</f>
        <v>0.4750422984748004</v>
      </c>
    </row>
    <row r="1459" spans="1:6" x14ac:dyDescent="0.3">
      <c r="A1459" s="37">
        <v>15</v>
      </c>
      <c r="B1459" s="37">
        <v>58</v>
      </c>
      <c r="C1459" s="55">
        <v>25.48</v>
      </c>
      <c r="D1459" s="55">
        <v>24.93</v>
      </c>
      <c r="E1459" s="56">
        <f>(PI()*(Pinus[[#This Row],[d_cm]]^2))/40000</f>
        <v>5.0990436378179071E-2</v>
      </c>
      <c r="F1459" s="56">
        <f>Pinus[[#This Row],[gi_m²]]*Pinus[[#This Row],[h_m]]*0.45</f>
        <v>0.57203621050860187</v>
      </c>
    </row>
    <row r="1460" spans="1:6" x14ac:dyDescent="0.3">
      <c r="A1460" s="37">
        <v>15</v>
      </c>
      <c r="B1460" s="37">
        <v>59</v>
      </c>
      <c r="C1460" s="55">
        <v>23.05</v>
      </c>
      <c r="D1460" s="55">
        <v>24.25</v>
      </c>
      <c r="E1460" s="56">
        <f>(PI()*(Pinus[[#This Row],[d_cm]]^2))/40000</f>
        <v>4.1728400770847274E-2</v>
      </c>
      <c r="F1460" s="56">
        <f>Pinus[[#This Row],[gi_m²]]*Pinus[[#This Row],[h_m]]*0.45</f>
        <v>0.45536117341187093</v>
      </c>
    </row>
    <row r="1461" spans="1:6" x14ac:dyDescent="0.3">
      <c r="A1461" s="37">
        <v>15</v>
      </c>
      <c r="B1461" s="37">
        <v>60</v>
      </c>
      <c r="C1461" s="55">
        <v>21.68</v>
      </c>
      <c r="D1461" s="55">
        <v>23.84</v>
      </c>
      <c r="E1461" s="56">
        <f>(PI()*(Pinus[[#This Row],[d_cm]]^2))/40000</f>
        <v>3.6915472971566075E-2</v>
      </c>
      <c r="F1461" s="56">
        <f>Pinus[[#This Row],[gi_m²]]*Pinus[[#This Row],[h_m]]*0.45</f>
        <v>0.39602919403896086</v>
      </c>
    </row>
    <row r="1462" spans="1:6" x14ac:dyDescent="0.3">
      <c r="A1462" s="37">
        <v>15</v>
      </c>
      <c r="B1462" s="37">
        <v>61</v>
      </c>
      <c r="C1462" s="55">
        <v>16.53</v>
      </c>
      <c r="D1462" s="55">
        <v>21.99</v>
      </c>
      <c r="E1462" s="56">
        <f>(PI()*(Pinus[[#This Row],[d_cm]]^2))/40000</f>
        <v>2.1460290102506583E-2</v>
      </c>
      <c r="F1462" s="56">
        <f>Pinus[[#This Row],[gi_m²]]*Pinus[[#This Row],[h_m]]*0.45</f>
        <v>0.21236030070935388</v>
      </c>
    </row>
    <row r="1463" spans="1:6" x14ac:dyDescent="0.3">
      <c r="A1463" s="37">
        <v>15</v>
      </c>
      <c r="B1463" s="37">
        <v>62</v>
      </c>
      <c r="C1463" s="55">
        <v>22.92</v>
      </c>
      <c r="D1463" s="55">
        <v>24.22</v>
      </c>
      <c r="E1463" s="56">
        <f>(PI()*(Pinus[[#This Row],[d_cm]]^2))/40000</f>
        <v>4.1259038974419335E-2</v>
      </c>
      <c r="F1463" s="56">
        <f>Pinus[[#This Row],[gi_m²]]*Pinus[[#This Row],[h_m]]*0.45</f>
        <v>0.44968226578219633</v>
      </c>
    </row>
    <row r="1464" spans="1:6" x14ac:dyDescent="0.3">
      <c r="A1464" s="37">
        <v>15</v>
      </c>
      <c r="B1464" s="37">
        <v>63</v>
      </c>
      <c r="C1464" s="55">
        <v>22</v>
      </c>
      <c r="D1464" s="55">
        <v>23.94</v>
      </c>
      <c r="E1464" s="56">
        <f>(PI()*(Pinus[[#This Row],[d_cm]]^2))/40000</f>
        <v>3.8013271108436497E-2</v>
      </c>
      <c r="F1464" s="56">
        <f>Pinus[[#This Row],[gi_m²]]*Pinus[[#This Row],[h_m]]*0.45</f>
        <v>0.40951696965118645</v>
      </c>
    </row>
    <row r="1465" spans="1:6" x14ac:dyDescent="0.3">
      <c r="A1465" s="37">
        <v>15</v>
      </c>
      <c r="B1465" s="37">
        <v>64</v>
      </c>
      <c r="C1465" s="55">
        <v>22.54</v>
      </c>
      <c r="D1465" s="55">
        <v>24.1</v>
      </c>
      <c r="E1465" s="56">
        <f>(PI()*(Pinus[[#This Row],[d_cm]]^2))/40000</f>
        <v>3.99022793551135E-2</v>
      </c>
      <c r="F1465" s="56">
        <f>Pinus[[#This Row],[gi_m²]]*Pinus[[#This Row],[h_m]]*0.45</f>
        <v>0.43274021960620596</v>
      </c>
    </row>
    <row r="1466" spans="1:6" x14ac:dyDescent="0.3">
      <c r="A1466" s="37">
        <v>15</v>
      </c>
      <c r="B1466" s="37">
        <v>65</v>
      </c>
      <c r="C1466" s="55">
        <v>21.69</v>
      </c>
      <c r="D1466" s="55">
        <v>23.84</v>
      </c>
      <c r="E1466" s="56">
        <f>(PI()*(Pinus[[#This Row],[d_cm]]^2))/40000</f>
        <v>3.6949535689912633E-2</v>
      </c>
      <c r="F1466" s="56">
        <f>Pinus[[#This Row],[gi_m²]]*Pinus[[#This Row],[h_m]]*0.45</f>
        <v>0.39639461888138272</v>
      </c>
    </row>
    <row r="1467" spans="1:6" x14ac:dyDescent="0.3">
      <c r="A1467" s="37">
        <v>15</v>
      </c>
      <c r="B1467" s="37">
        <v>66</v>
      </c>
      <c r="C1467" s="55">
        <v>19.190000000000001</v>
      </c>
      <c r="D1467" s="55">
        <v>23.01</v>
      </c>
      <c r="E1467" s="56">
        <f>(PI()*(Pinus[[#This Row],[d_cm]]^2))/40000</f>
        <v>2.8922766459990708E-2</v>
      </c>
      <c r="F1467" s="56">
        <f>Pinus[[#This Row],[gi_m²]]*Pinus[[#This Row],[h_m]]*0.45</f>
        <v>0.29948078530997385</v>
      </c>
    </row>
    <row r="1468" spans="1:6" x14ac:dyDescent="0.3">
      <c r="A1468" s="37">
        <v>15</v>
      </c>
      <c r="B1468" s="37">
        <v>67</v>
      </c>
      <c r="C1468" s="55">
        <v>19.690000000000001</v>
      </c>
      <c r="D1468" s="55">
        <v>23.19</v>
      </c>
      <c r="E1468" s="56">
        <f>(PI()*(Pinus[[#This Row],[d_cm]]^2))/40000</f>
        <v>3.044958048963535E-2</v>
      </c>
      <c r="F1468" s="56">
        <f>Pinus[[#This Row],[gi_m²]]*Pinus[[#This Row],[h_m]]*0.45</f>
        <v>0.31775659719958976</v>
      </c>
    </row>
    <row r="1469" spans="1:6" x14ac:dyDescent="0.3">
      <c r="A1469" s="37">
        <v>15</v>
      </c>
      <c r="B1469" s="37">
        <v>68</v>
      </c>
      <c r="C1469" s="55">
        <v>22.75</v>
      </c>
      <c r="D1469" s="55">
        <v>24.17</v>
      </c>
      <c r="E1469" s="56">
        <f>(PI()*(Pinus[[#This Row],[d_cm]]^2))/40000</f>
        <v>4.0649263694339181E-2</v>
      </c>
      <c r="F1469" s="56">
        <f>Pinus[[#This Row],[gi_m²]]*Pinus[[#This Row],[h_m]]*0.45</f>
        <v>0.44212171657148014</v>
      </c>
    </row>
    <row r="1470" spans="1:6" x14ac:dyDescent="0.3">
      <c r="A1470" s="37">
        <v>15</v>
      </c>
      <c r="B1470" s="37">
        <v>69</v>
      </c>
      <c r="C1470" s="55">
        <v>20.69</v>
      </c>
      <c r="D1470" s="55">
        <v>23.52</v>
      </c>
      <c r="E1470" s="56">
        <f>(PI()*(Pinus[[#This Row],[d_cm]]^2))/40000</f>
        <v>3.3621018273434243E-2</v>
      </c>
      <c r="F1470" s="56">
        <f>Pinus[[#This Row],[gi_m²]]*Pinus[[#This Row],[h_m]]*0.45</f>
        <v>0.355844857406028</v>
      </c>
    </row>
    <row r="1471" spans="1:6" x14ac:dyDescent="0.3">
      <c r="A1471" s="37">
        <v>15</v>
      </c>
      <c r="B1471" s="37">
        <v>70</v>
      </c>
      <c r="C1471" s="55">
        <v>16.68</v>
      </c>
      <c r="D1471" s="55">
        <v>22.06</v>
      </c>
      <c r="E1471" s="56">
        <f>(PI()*(Pinus[[#This Row],[d_cm]]^2))/40000</f>
        <v>2.1851536197603022E-2</v>
      </c>
      <c r="F1471" s="56">
        <f>Pinus[[#This Row],[gi_m²]]*Pinus[[#This Row],[h_m]]*0.45</f>
        <v>0.21692019983360519</v>
      </c>
    </row>
    <row r="1472" spans="1:6" x14ac:dyDescent="0.3">
      <c r="A1472" s="37">
        <v>15</v>
      </c>
      <c r="B1472" s="37">
        <v>71</v>
      </c>
      <c r="C1472" s="55">
        <v>18.84</v>
      </c>
      <c r="D1472" s="55">
        <v>22.88</v>
      </c>
      <c r="E1472" s="56">
        <f>(PI()*(Pinus[[#This Row],[d_cm]]^2))/40000</f>
        <v>2.7877362234600533E-2</v>
      </c>
      <c r="F1472" s="56">
        <f>Pinus[[#This Row],[gi_m²]]*Pinus[[#This Row],[h_m]]*0.45</f>
        <v>0.28702532156744709</v>
      </c>
    </row>
    <row r="1473" spans="1:6" x14ac:dyDescent="0.3">
      <c r="A1473" s="37">
        <v>15</v>
      </c>
      <c r="B1473" s="37">
        <v>72</v>
      </c>
      <c r="C1473" s="55">
        <v>14.72</v>
      </c>
      <c r="D1473" s="55">
        <v>21.21</v>
      </c>
      <c r="E1473" s="56">
        <f>(PI()*(Pinus[[#This Row],[d_cm]]^2))/40000</f>
        <v>1.7017881740789768E-2</v>
      </c>
      <c r="F1473" s="56">
        <f>Pinus[[#This Row],[gi_m²]]*Pinus[[#This Row],[h_m]]*0.45</f>
        <v>0.16242717227496797</v>
      </c>
    </row>
    <row r="1474" spans="1:6" x14ac:dyDescent="0.3">
      <c r="A1474" s="37">
        <v>15</v>
      </c>
      <c r="B1474" s="37">
        <v>73</v>
      </c>
      <c r="C1474" s="55">
        <v>16.13</v>
      </c>
      <c r="D1474" s="55">
        <v>21.83</v>
      </c>
      <c r="E1474" s="56">
        <f>(PI()*(Pinus[[#This Row],[d_cm]]^2))/40000</f>
        <v>2.0434245941844155E-2</v>
      </c>
      <c r="F1474" s="56">
        <f>Pinus[[#This Row],[gi_m²]]*Pinus[[#This Row],[h_m]]*0.45</f>
        <v>0.20073581500970603</v>
      </c>
    </row>
    <row r="1475" spans="1:6" x14ac:dyDescent="0.3">
      <c r="A1475" s="37">
        <v>15</v>
      </c>
      <c r="B1475" s="37">
        <v>74</v>
      </c>
      <c r="C1475" s="55">
        <v>19.420000000000002</v>
      </c>
      <c r="D1475" s="55">
        <v>23.09</v>
      </c>
      <c r="E1475" s="56">
        <f>(PI()*(Pinus[[#This Row],[d_cm]]^2))/40000</f>
        <v>2.962022359103255E-2</v>
      </c>
      <c r="F1475" s="56">
        <f>Pinus[[#This Row],[gi_m²]]*Pinus[[#This Row],[h_m]]*0.45</f>
        <v>0.30776893322262372</v>
      </c>
    </row>
    <row r="1476" spans="1:6" x14ac:dyDescent="0.3">
      <c r="A1476" s="37">
        <v>15</v>
      </c>
      <c r="B1476" s="37">
        <v>75</v>
      </c>
      <c r="C1476" s="55">
        <v>12.81</v>
      </c>
      <c r="D1476" s="55">
        <v>20.260000000000002</v>
      </c>
      <c r="E1476" s="56">
        <f>(PI()*(Pinus[[#This Row],[d_cm]]^2))/40000</f>
        <v>1.2888077556068401E-2</v>
      </c>
      <c r="F1476" s="56">
        <f>Pinus[[#This Row],[gi_m²]]*Pinus[[#This Row],[h_m]]*0.45</f>
        <v>0.11750060307867563</v>
      </c>
    </row>
    <row r="1477" spans="1:6" x14ac:dyDescent="0.3">
      <c r="A1477" s="37">
        <v>15</v>
      </c>
      <c r="B1477" s="37">
        <v>76</v>
      </c>
      <c r="C1477" s="55">
        <v>13.25</v>
      </c>
      <c r="D1477" s="55">
        <v>20.49</v>
      </c>
      <c r="E1477" s="56">
        <f>(PI()*(Pinus[[#This Row],[d_cm]]^2))/40000</f>
        <v>1.3788646506146453E-2</v>
      </c>
      <c r="F1477" s="56">
        <f>Pinus[[#This Row],[gi_m²]]*Pinus[[#This Row],[h_m]]*0.45</f>
        <v>0.12713821510992335</v>
      </c>
    </row>
    <row r="1478" spans="1:6" x14ac:dyDescent="0.3">
      <c r="A1478" s="37">
        <v>15</v>
      </c>
      <c r="B1478" s="37">
        <v>77</v>
      </c>
      <c r="C1478" s="55">
        <v>24.41</v>
      </c>
      <c r="D1478" s="55">
        <v>24.64</v>
      </c>
      <c r="E1478" s="56">
        <f>(PI()*(Pinus[[#This Row],[d_cm]]^2))/40000</f>
        <v>4.6797800340385914E-2</v>
      </c>
      <c r="F1478" s="56">
        <f>Pinus[[#This Row],[gi_m²]]*Pinus[[#This Row],[h_m]]*0.45</f>
        <v>0.51889401017419901</v>
      </c>
    </row>
    <row r="1479" spans="1:6" x14ac:dyDescent="0.3">
      <c r="A1479" s="37">
        <v>15</v>
      </c>
      <c r="B1479" s="37">
        <v>78</v>
      </c>
      <c r="C1479" s="55">
        <v>17.690000000000001</v>
      </c>
      <c r="D1479" s="55">
        <v>22.46</v>
      </c>
      <c r="E1479" s="56">
        <f>(PI()*(Pinus[[#This Row],[d_cm]]^2))/40000</f>
        <v>2.4577943820076026E-2</v>
      </c>
      <c r="F1479" s="56">
        <f>Pinus[[#This Row],[gi_m²]]*Pinus[[#This Row],[h_m]]*0.45</f>
        <v>0.24840927818950842</v>
      </c>
    </row>
    <row r="1480" spans="1:6" x14ac:dyDescent="0.3">
      <c r="A1480" s="37">
        <v>15</v>
      </c>
      <c r="B1480" s="37">
        <v>79</v>
      </c>
      <c r="C1480" s="55">
        <v>12.59</v>
      </c>
      <c r="D1480" s="55">
        <v>20.149999999999999</v>
      </c>
      <c r="E1480" s="56">
        <f>(PI()*(Pinus[[#This Row],[d_cm]]^2))/40000</f>
        <v>1.2449197062361906E-2</v>
      </c>
      <c r="F1480" s="56">
        <f>Pinus[[#This Row],[gi_m²]]*Pinus[[#This Row],[h_m]]*0.45</f>
        <v>0.11288309436296658</v>
      </c>
    </row>
    <row r="1481" spans="1:6" x14ac:dyDescent="0.3">
      <c r="A1481" s="37">
        <v>15</v>
      </c>
      <c r="B1481" s="37">
        <v>80</v>
      </c>
      <c r="C1481" s="55">
        <v>19.55</v>
      </c>
      <c r="D1481" s="55">
        <v>23.14</v>
      </c>
      <c r="E1481" s="56">
        <f>(PI()*(Pinus[[#This Row],[d_cm]]^2))/40000</f>
        <v>3.0018114154591324E-2</v>
      </c>
      <c r="F1481" s="56">
        <f>Pinus[[#This Row],[gi_m²]]*Pinus[[#This Row],[h_m]]*0.45</f>
        <v>0.31257862269175946</v>
      </c>
    </row>
    <row r="1482" spans="1:6" x14ac:dyDescent="0.3">
      <c r="A1482" s="37">
        <v>15</v>
      </c>
      <c r="B1482" s="37">
        <v>81</v>
      </c>
      <c r="C1482" s="55">
        <v>25.28</v>
      </c>
      <c r="D1482" s="55">
        <v>24.88</v>
      </c>
      <c r="E1482" s="56">
        <f>(PI()*(Pinus[[#This Row],[d_cm]]^2))/40000</f>
        <v>5.0193100162697984E-2</v>
      </c>
      <c r="F1482" s="56">
        <f>Pinus[[#This Row],[gi_m²]]*Pinus[[#This Row],[h_m]]*0.45</f>
        <v>0.56196194942156663</v>
      </c>
    </row>
    <row r="1483" spans="1:6" x14ac:dyDescent="0.3">
      <c r="A1483" s="37">
        <v>15</v>
      </c>
      <c r="B1483" s="37">
        <v>82</v>
      </c>
      <c r="C1483" s="55">
        <v>22.65</v>
      </c>
      <c r="D1483" s="55">
        <v>24.14</v>
      </c>
      <c r="E1483" s="56">
        <f>(PI()*(Pinus[[#This Row],[d_cm]]^2))/40000</f>
        <v>4.0292692928156737E-2</v>
      </c>
      <c r="F1483" s="56">
        <f>Pinus[[#This Row],[gi_m²]]*Pinus[[#This Row],[h_m]]*0.45</f>
        <v>0.43769952327856665</v>
      </c>
    </row>
    <row r="1484" spans="1:6" x14ac:dyDescent="0.3">
      <c r="A1484" s="37">
        <v>15</v>
      </c>
      <c r="B1484" s="37">
        <v>83</v>
      </c>
      <c r="C1484" s="55">
        <v>21.77</v>
      </c>
      <c r="D1484" s="55">
        <v>23.86</v>
      </c>
      <c r="E1484" s="56">
        <f>(PI()*(Pinus[[#This Row],[d_cm]]^2))/40000</f>
        <v>3.7222602923362651E-2</v>
      </c>
      <c r="F1484" s="56">
        <f>Pinus[[#This Row],[gi_m²]]*Pinus[[#This Row],[h_m]]*0.45</f>
        <v>0.39965908758814478</v>
      </c>
    </row>
    <row r="1485" spans="1:6" x14ac:dyDescent="0.3">
      <c r="A1485" s="37">
        <v>15</v>
      </c>
      <c r="B1485" s="37">
        <v>84</v>
      </c>
      <c r="C1485" s="55">
        <v>24.73</v>
      </c>
      <c r="D1485" s="55">
        <v>24.73</v>
      </c>
      <c r="E1485" s="56">
        <f>(PI()*(Pinus[[#This Row],[d_cm]]^2))/40000</f>
        <v>4.8032823244365128E-2</v>
      </c>
      <c r="F1485" s="56">
        <f>Pinus[[#This Row],[gi_m²]]*Pinus[[#This Row],[h_m]]*0.45</f>
        <v>0.53453327347491741</v>
      </c>
    </row>
    <row r="1486" spans="1:6" x14ac:dyDescent="0.3">
      <c r="A1486" s="37">
        <v>15</v>
      </c>
      <c r="B1486" s="37">
        <v>85</v>
      </c>
      <c r="C1486" s="55">
        <v>16.91</v>
      </c>
      <c r="D1486" s="55">
        <v>22.15</v>
      </c>
      <c r="E1486" s="56">
        <f>(PI()*(Pinus[[#This Row],[d_cm]]^2))/40000</f>
        <v>2.2458311256698987E-2</v>
      </c>
      <c r="F1486" s="56">
        <f>Pinus[[#This Row],[gi_m²]]*Pinus[[#This Row],[h_m]]*0.45</f>
        <v>0.22385321745114714</v>
      </c>
    </row>
    <row r="1487" spans="1:6" x14ac:dyDescent="0.3">
      <c r="A1487" s="37">
        <v>15</v>
      </c>
      <c r="B1487" s="37">
        <v>86</v>
      </c>
      <c r="C1487" s="55">
        <v>22.92</v>
      </c>
      <c r="D1487" s="55">
        <v>24.22</v>
      </c>
      <c r="E1487" s="56">
        <f>(PI()*(Pinus[[#This Row],[d_cm]]^2))/40000</f>
        <v>4.1259038974419335E-2</v>
      </c>
      <c r="F1487" s="56">
        <f>Pinus[[#This Row],[gi_m²]]*Pinus[[#This Row],[h_m]]*0.45</f>
        <v>0.44968226578219633</v>
      </c>
    </row>
    <row r="1488" spans="1:6" x14ac:dyDescent="0.3">
      <c r="A1488" s="37">
        <v>15</v>
      </c>
      <c r="B1488" s="37">
        <v>87</v>
      </c>
      <c r="C1488" s="55">
        <v>17.649999999999999</v>
      </c>
      <c r="D1488" s="55">
        <v>22.44</v>
      </c>
      <c r="E1488" s="56">
        <f>(PI()*(Pinus[[#This Row],[d_cm]]^2))/40000</f>
        <v>2.4466919935698151E-2</v>
      </c>
      <c r="F1488" s="56">
        <f>Pinus[[#This Row],[gi_m²]]*Pinus[[#This Row],[h_m]]*0.45</f>
        <v>0.24706695751067992</v>
      </c>
    </row>
    <row r="1489" spans="1:6" x14ac:dyDescent="0.3">
      <c r="A1489" s="37">
        <v>15</v>
      </c>
      <c r="B1489" s="37">
        <v>88</v>
      </c>
      <c r="C1489" s="55">
        <v>20</v>
      </c>
      <c r="D1489" s="55">
        <v>23.29</v>
      </c>
      <c r="E1489" s="56">
        <f>(PI()*(Pinus[[#This Row],[d_cm]]^2))/40000</f>
        <v>3.1415926535897934E-2</v>
      </c>
      <c r="F1489" s="56">
        <f>Pinus[[#This Row],[gi_m²]]*Pinus[[#This Row],[h_m]]*0.45</f>
        <v>0.32925461805947831</v>
      </c>
    </row>
    <row r="1490" spans="1:6" x14ac:dyDescent="0.3">
      <c r="A1490" s="37">
        <v>15</v>
      </c>
      <c r="B1490" s="37">
        <v>89</v>
      </c>
      <c r="C1490" s="55">
        <v>28.86</v>
      </c>
      <c r="D1490" s="55">
        <v>25.78</v>
      </c>
      <c r="E1490" s="56">
        <f>(PI()*(Pinus[[#This Row],[d_cm]]^2))/40000</f>
        <v>6.5415781613446924E-2</v>
      </c>
      <c r="F1490" s="56">
        <f>Pinus[[#This Row],[gi_m²]]*Pinus[[#This Row],[h_m]]*0.45</f>
        <v>0.75888848249759777</v>
      </c>
    </row>
    <row r="1491" spans="1:6" x14ac:dyDescent="0.3">
      <c r="A1491" s="37">
        <v>15</v>
      </c>
      <c r="B1491" s="37">
        <v>90</v>
      </c>
      <c r="C1491" s="55">
        <v>23.88</v>
      </c>
      <c r="D1491" s="55">
        <v>24.49</v>
      </c>
      <c r="E1491" s="56">
        <f>(PI()*(Pinus[[#This Row],[d_cm]]^2))/40000</f>
        <v>4.4787675842931376E-2</v>
      </c>
      <c r="F1491" s="56">
        <f>Pinus[[#This Row],[gi_m²]]*Pinus[[#This Row],[h_m]]*0.45</f>
        <v>0.49358258162702517</v>
      </c>
    </row>
    <row r="1492" spans="1:6" x14ac:dyDescent="0.3">
      <c r="A1492" s="37">
        <v>15</v>
      </c>
      <c r="B1492" s="37">
        <v>91</v>
      </c>
      <c r="C1492" s="55">
        <v>23.07</v>
      </c>
      <c r="D1492" s="55">
        <v>24.26</v>
      </c>
      <c r="E1492" s="56">
        <f>(PI()*(Pinus[[#This Row],[d_cm]]^2))/40000</f>
        <v>4.1800845897439064E-2</v>
      </c>
      <c r="F1492" s="56">
        <f>Pinus[[#This Row],[gi_m²]]*Pinus[[#This Row],[h_m]]*0.45</f>
        <v>0.45633983466234229</v>
      </c>
    </row>
    <row r="1493" spans="1:6" x14ac:dyDescent="0.3">
      <c r="A1493" s="37">
        <v>15</v>
      </c>
      <c r="B1493" s="37">
        <v>92</v>
      </c>
      <c r="C1493" s="55">
        <v>15.57</v>
      </c>
      <c r="D1493" s="55">
        <v>21.59</v>
      </c>
      <c r="E1493" s="56">
        <f>(PI()*(Pinus[[#This Row],[d_cm]]^2))/40000</f>
        <v>1.9040007122181006E-2</v>
      </c>
      <c r="F1493" s="56">
        <f>Pinus[[#This Row],[gi_m²]]*Pinus[[#This Row],[h_m]]*0.45</f>
        <v>0.18498318919554957</v>
      </c>
    </row>
    <row r="1494" spans="1:6" x14ac:dyDescent="0.3">
      <c r="A1494" s="37">
        <v>15</v>
      </c>
      <c r="B1494" s="37">
        <v>93</v>
      </c>
      <c r="C1494" s="55">
        <v>16.86</v>
      </c>
      <c r="D1494" s="55">
        <v>22.13</v>
      </c>
      <c r="E1494" s="56">
        <f>(PI()*(Pinus[[#This Row],[d_cm]]^2))/40000</f>
        <v>2.2325696776809328E-2</v>
      </c>
      <c r="F1494" s="56">
        <f>Pinus[[#This Row],[gi_m²]]*Pinus[[#This Row],[h_m]]*0.45</f>
        <v>0.2223304513518557</v>
      </c>
    </row>
    <row r="1495" spans="1:6" x14ac:dyDescent="0.3">
      <c r="A1495" s="37">
        <v>15</v>
      </c>
      <c r="B1495" s="37">
        <v>94</v>
      </c>
      <c r="C1495" s="55">
        <v>29.14</v>
      </c>
      <c r="D1495" s="55">
        <v>25.85</v>
      </c>
      <c r="E1495" s="56">
        <f>(PI()*(Pinus[[#This Row],[d_cm]]^2))/40000</f>
        <v>6.6691268230804387E-2</v>
      </c>
      <c r="F1495" s="56">
        <f>Pinus[[#This Row],[gi_m²]]*Pinus[[#This Row],[h_m]]*0.45</f>
        <v>0.77578617769483205</v>
      </c>
    </row>
    <row r="1496" spans="1:6" x14ac:dyDescent="0.3">
      <c r="A1496" s="37">
        <v>15</v>
      </c>
      <c r="B1496" s="37">
        <v>95</v>
      </c>
      <c r="C1496" s="55">
        <v>15.63</v>
      </c>
      <c r="D1496" s="55">
        <v>21.61</v>
      </c>
      <c r="E1496" s="56">
        <f>(PI()*(Pinus[[#This Row],[d_cm]]^2))/40000</f>
        <v>1.9187033658369008E-2</v>
      </c>
      <c r="F1496" s="56">
        <f>Pinus[[#This Row],[gi_m²]]*Pinus[[#This Row],[h_m]]*0.45</f>
        <v>0.1865843088108094</v>
      </c>
    </row>
    <row r="1497" spans="1:6" x14ac:dyDescent="0.3">
      <c r="A1497" s="37">
        <v>15</v>
      </c>
      <c r="B1497" s="37">
        <v>96</v>
      </c>
      <c r="C1497" s="55">
        <v>20.86</v>
      </c>
      <c r="D1497" s="55">
        <v>23.58</v>
      </c>
      <c r="E1497" s="56">
        <f>(PI()*(Pinus[[#This Row],[d_cm]]^2))/40000</f>
        <v>3.4175784266150026E-2</v>
      </c>
      <c r="F1497" s="56">
        <f>Pinus[[#This Row],[gi_m²]]*Pinus[[#This Row],[h_m]]*0.45</f>
        <v>0.36263924684811794</v>
      </c>
    </row>
    <row r="1498" spans="1:6" x14ac:dyDescent="0.3">
      <c r="A1498" s="37">
        <v>15</v>
      </c>
      <c r="B1498" s="37">
        <v>97</v>
      </c>
      <c r="C1498" s="55">
        <v>23.57</v>
      </c>
      <c r="D1498" s="55">
        <v>24.41</v>
      </c>
      <c r="E1498" s="56">
        <f>(PI()*(Pinus[[#This Row],[d_cm]]^2))/40000</f>
        <v>4.3632394414481905E-2</v>
      </c>
      <c r="F1498" s="56">
        <f>Pinus[[#This Row],[gi_m²]]*Pinus[[#This Row],[h_m]]*0.45</f>
        <v>0.47928003644587652</v>
      </c>
    </row>
    <row r="1499" spans="1:6" x14ac:dyDescent="0.3">
      <c r="A1499" s="37">
        <v>15</v>
      </c>
      <c r="B1499" s="37">
        <v>98</v>
      </c>
      <c r="C1499" s="55">
        <v>24.08</v>
      </c>
      <c r="D1499" s="55">
        <v>24.55</v>
      </c>
      <c r="E1499" s="56">
        <f>(PI()*(Pinus[[#This Row],[d_cm]]^2))/40000</f>
        <v>4.5541029761262203E-2</v>
      </c>
      <c r="F1499" s="56">
        <f>Pinus[[#This Row],[gi_m²]]*Pinus[[#This Row],[h_m]]*0.45</f>
        <v>0.50311452628754416</v>
      </c>
    </row>
    <row r="1500" spans="1:6" x14ac:dyDescent="0.3">
      <c r="A1500" s="37">
        <v>15</v>
      </c>
      <c r="B1500" s="37">
        <v>99</v>
      </c>
      <c r="C1500" s="55">
        <v>24.36</v>
      </c>
      <c r="D1500" s="55">
        <v>24.63</v>
      </c>
      <c r="E1500" s="56">
        <f>(PI()*(Pinus[[#This Row],[d_cm]]^2))/40000</f>
        <v>4.6606280998241434E-2</v>
      </c>
      <c r="F1500" s="56">
        <f>Pinus[[#This Row],[gi_m²]]*Pinus[[#This Row],[h_m]]*0.45</f>
        <v>0.51656071544400894</v>
      </c>
    </row>
    <row r="1501" spans="1:6" x14ac:dyDescent="0.3">
      <c r="A1501" s="37">
        <v>15</v>
      </c>
      <c r="B1501" s="37">
        <v>100</v>
      </c>
      <c r="C1501" s="55">
        <v>19.350000000000001</v>
      </c>
      <c r="D1501" s="55">
        <v>23.07</v>
      </c>
      <c r="E1501" s="56">
        <f>(PI()*(Pinus[[#This Row],[d_cm]]^2))/40000</f>
        <v>2.9407074383468113E-2</v>
      </c>
      <c r="F1501" s="56">
        <f>Pinus[[#This Row],[gi_m²]]*Pinus[[#This Row],[h_m]]*0.45</f>
        <v>0.30528954271197423</v>
      </c>
    </row>
    <row r="1502" spans="1:6" x14ac:dyDescent="0.3">
      <c r="A1502" s="37">
        <v>16</v>
      </c>
      <c r="B1502" s="37">
        <v>1</v>
      </c>
      <c r="C1502" s="55">
        <v>16.72</v>
      </c>
      <c r="D1502" s="55">
        <v>11.26</v>
      </c>
      <c r="E1502" s="56">
        <f>(PI()*(Pinus[[#This Row],[d_cm]]^2))/40000</f>
        <v>2.1956465392232918E-2</v>
      </c>
      <c r="F1502" s="56">
        <f>Pinus[[#This Row],[gi_m²]]*Pinus[[#This Row],[h_m]]*0.45</f>
        <v>0.11125341014244419</v>
      </c>
    </row>
    <row r="1503" spans="1:6" x14ac:dyDescent="0.3">
      <c r="A1503" s="37">
        <v>16</v>
      </c>
      <c r="B1503" s="37">
        <v>2</v>
      </c>
      <c r="C1503" s="55">
        <v>18.77</v>
      </c>
      <c r="D1503" s="55">
        <v>11.66</v>
      </c>
      <c r="E1503" s="56">
        <f>(PI()*(Pinus[[#This Row],[d_cm]]^2))/40000</f>
        <v>2.7670590460122883E-2</v>
      </c>
      <c r="F1503" s="56">
        <f>Pinus[[#This Row],[gi_m²]]*Pinus[[#This Row],[h_m]]*0.45</f>
        <v>0.14518758814426477</v>
      </c>
    </row>
    <row r="1504" spans="1:6" x14ac:dyDescent="0.3">
      <c r="A1504" s="37">
        <v>16</v>
      </c>
      <c r="B1504" s="37">
        <v>3</v>
      </c>
      <c r="C1504" s="55">
        <v>16.39</v>
      </c>
      <c r="D1504" s="55">
        <v>11.19</v>
      </c>
      <c r="E1504" s="56">
        <f>(PI()*(Pinus[[#This Row],[d_cm]]^2))/40000</f>
        <v>2.109831579695997E-2</v>
      </c>
      <c r="F1504" s="56">
        <f>Pinus[[#This Row],[gi_m²]]*Pinus[[#This Row],[h_m]]*0.45</f>
        <v>0.10624056919559192</v>
      </c>
    </row>
    <row r="1505" spans="1:6" x14ac:dyDescent="0.3">
      <c r="A1505" s="37">
        <v>16</v>
      </c>
      <c r="B1505" s="37">
        <v>4</v>
      </c>
      <c r="C1505" s="55">
        <v>22.51</v>
      </c>
      <c r="D1505" s="55">
        <v>12.29</v>
      </c>
      <c r="E1505" s="56">
        <f>(PI()*(Pinus[[#This Row],[d_cm]]^2))/40000</f>
        <v>3.9796132793330344E-2</v>
      </c>
      <c r="F1505" s="56">
        <f>Pinus[[#This Row],[gi_m²]]*Pinus[[#This Row],[h_m]]*0.45</f>
        <v>0.22009251241351344</v>
      </c>
    </row>
    <row r="1506" spans="1:6" x14ac:dyDescent="0.3">
      <c r="A1506" s="37">
        <v>16</v>
      </c>
      <c r="B1506" s="37">
        <v>5</v>
      </c>
      <c r="C1506" s="55">
        <v>24.48</v>
      </c>
      <c r="D1506" s="55">
        <v>12.58</v>
      </c>
      <c r="E1506" s="56">
        <f>(PI()*(Pinus[[#This Row],[d_cm]]^2))/40000</f>
        <v>4.7066587153845423E-2</v>
      </c>
      <c r="F1506" s="56">
        <f>Pinus[[#This Row],[gi_m²]]*Pinus[[#This Row],[h_m]]*0.45</f>
        <v>0.26644394987791897</v>
      </c>
    </row>
    <row r="1507" spans="1:6" x14ac:dyDescent="0.3">
      <c r="A1507" s="37">
        <v>16</v>
      </c>
      <c r="B1507" s="37">
        <v>6</v>
      </c>
      <c r="C1507" s="55">
        <v>28.51</v>
      </c>
      <c r="D1507" s="55">
        <v>13.11</v>
      </c>
      <c r="E1507" s="56">
        <f>(PI()*(Pinus[[#This Row],[d_cm]]^2))/40000</f>
        <v>6.3838741371253033E-2</v>
      </c>
      <c r="F1507" s="56">
        <f>Pinus[[#This Row],[gi_m²]]*Pinus[[#This Row],[h_m]]*0.45</f>
        <v>0.37661665471970729</v>
      </c>
    </row>
    <row r="1508" spans="1:6" x14ac:dyDescent="0.3">
      <c r="A1508" s="37">
        <v>16</v>
      </c>
      <c r="B1508" s="37">
        <v>7</v>
      </c>
      <c r="C1508" s="55">
        <v>21.46</v>
      </c>
      <c r="D1508" s="55">
        <v>12.13</v>
      </c>
      <c r="E1508" s="56">
        <f>(PI()*(Pinus[[#This Row],[d_cm]]^2))/40000</f>
        <v>3.6170067282648828E-2</v>
      </c>
      <c r="F1508" s="56">
        <f>Pinus[[#This Row],[gi_m²]]*Pinus[[#This Row],[h_m]]*0.45</f>
        <v>0.19743431226233865</v>
      </c>
    </row>
    <row r="1509" spans="1:6" x14ac:dyDescent="0.3">
      <c r="A1509" s="37">
        <v>16</v>
      </c>
      <c r="B1509" s="37">
        <v>8</v>
      </c>
      <c r="C1509" s="55">
        <v>16.5</v>
      </c>
      <c r="D1509" s="55">
        <v>11.22</v>
      </c>
      <c r="E1509" s="56">
        <f>(PI()*(Pinus[[#This Row],[d_cm]]^2))/40000</f>
        <v>2.138246499849553E-2</v>
      </c>
      <c r="F1509" s="56">
        <f>Pinus[[#This Row],[gi_m²]]*Pinus[[#This Row],[h_m]]*0.45</f>
        <v>0.10796006577740394</v>
      </c>
    </row>
    <row r="1510" spans="1:6" x14ac:dyDescent="0.3">
      <c r="A1510" s="37">
        <v>16</v>
      </c>
      <c r="B1510" s="37">
        <v>9</v>
      </c>
      <c r="C1510" s="55">
        <v>24.1</v>
      </c>
      <c r="D1510" s="55">
        <v>12.53</v>
      </c>
      <c r="E1510" s="56">
        <f>(PI()*(Pinus[[#This Row],[d_cm]]^2))/40000</f>
        <v>4.5616710728287199E-2</v>
      </c>
      <c r="F1510" s="56">
        <f>Pinus[[#This Row],[gi_m²]]*Pinus[[#This Row],[h_m]]*0.45</f>
        <v>0.25720982344144738</v>
      </c>
    </row>
    <row r="1511" spans="1:6" x14ac:dyDescent="0.3">
      <c r="A1511" s="37">
        <v>16</v>
      </c>
      <c r="B1511" s="37">
        <v>10</v>
      </c>
      <c r="C1511" s="55">
        <v>23.62</v>
      </c>
      <c r="D1511" s="55">
        <v>12.46</v>
      </c>
      <c r="E1511" s="56">
        <f>(PI()*(Pinus[[#This Row],[d_cm]]^2))/40000</f>
        <v>4.3817709111135535E-2</v>
      </c>
      <c r="F1511" s="56">
        <f>Pinus[[#This Row],[gi_m²]]*Pinus[[#This Row],[h_m]]*0.45</f>
        <v>0.24568589498613697</v>
      </c>
    </row>
    <row r="1512" spans="1:6" x14ac:dyDescent="0.3">
      <c r="A1512" s="37">
        <v>16</v>
      </c>
      <c r="B1512" s="37">
        <v>11</v>
      </c>
      <c r="C1512" s="55">
        <v>19.05</v>
      </c>
      <c r="D1512" s="55">
        <v>11.71</v>
      </c>
      <c r="E1512" s="56">
        <f>(PI()*(Pinus[[#This Row],[d_cm]]^2))/40000</f>
        <v>2.8502295699234247E-2</v>
      </c>
      <c r="F1512" s="56">
        <f>Pinus[[#This Row],[gi_m²]]*Pinus[[#This Row],[h_m]]*0.45</f>
        <v>0.1501928471871149</v>
      </c>
    </row>
    <row r="1513" spans="1:6" x14ac:dyDescent="0.3">
      <c r="A1513" s="37">
        <v>16</v>
      </c>
      <c r="B1513" s="37">
        <v>12</v>
      </c>
      <c r="C1513" s="55">
        <v>13.77</v>
      </c>
      <c r="D1513" s="55">
        <v>10.59</v>
      </c>
      <c r="E1513" s="56">
        <f>(PI()*(Pinus[[#This Row],[d_cm]]^2))/40000</f>
        <v>1.4892162341646403E-2</v>
      </c>
      <c r="F1513" s="56">
        <f>Pinus[[#This Row],[gi_m²]]*Pinus[[#This Row],[h_m]]*0.45</f>
        <v>7.0968599639115934E-2</v>
      </c>
    </row>
    <row r="1514" spans="1:6" x14ac:dyDescent="0.3">
      <c r="A1514" s="37">
        <v>16</v>
      </c>
      <c r="B1514" s="37">
        <v>13</v>
      </c>
      <c r="C1514" s="55">
        <v>23.05</v>
      </c>
      <c r="D1514" s="55">
        <v>12.37</v>
      </c>
      <c r="E1514" s="56">
        <f>(PI()*(Pinus[[#This Row],[d_cm]]^2))/40000</f>
        <v>4.1728400770847274E-2</v>
      </c>
      <c r="F1514" s="56">
        <f>Pinus[[#This Row],[gi_m²]]*Pinus[[#This Row],[h_m]]*0.45</f>
        <v>0.23228114289092133</v>
      </c>
    </row>
    <row r="1515" spans="1:6" x14ac:dyDescent="0.3">
      <c r="A1515" s="37">
        <v>16</v>
      </c>
      <c r="B1515" s="37">
        <v>14</v>
      </c>
      <c r="C1515" s="55">
        <v>24.52</v>
      </c>
      <c r="D1515" s="55">
        <v>12.59</v>
      </c>
      <c r="E1515" s="56">
        <f>(PI()*(Pinus[[#This Row],[d_cm]]^2))/40000</f>
        <v>4.7220525193871321E-2</v>
      </c>
      <c r="F1515" s="56">
        <f>Pinus[[#This Row],[gi_m²]]*Pinus[[#This Row],[h_m]]*0.45</f>
        <v>0.26752788548587797</v>
      </c>
    </row>
    <row r="1516" spans="1:6" x14ac:dyDescent="0.3">
      <c r="A1516" s="37">
        <v>16</v>
      </c>
      <c r="B1516" s="37">
        <v>15</v>
      </c>
      <c r="C1516" s="55">
        <v>18.82</v>
      </c>
      <c r="D1516" s="55">
        <v>11.67</v>
      </c>
      <c r="E1516" s="56">
        <f>(PI()*(Pinus[[#This Row],[d_cm]]^2))/40000</f>
        <v>2.7818206044933437E-2</v>
      </c>
      <c r="F1516" s="56">
        <f>Pinus[[#This Row],[gi_m²]]*Pinus[[#This Row],[h_m]]*0.45</f>
        <v>0.14608730904496794</v>
      </c>
    </row>
    <row r="1517" spans="1:6" x14ac:dyDescent="0.3">
      <c r="A1517" s="37">
        <v>16</v>
      </c>
      <c r="B1517" s="37">
        <v>16</v>
      </c>
      <c r="C1517" s="55">
        <v>22.14</v>
      </c>
      <c r="D1517" s="55">
        <v>12.24</v>
      </c>
      <c r="E1517" s="56">
        <f>(PI()*(Pinus[[#This Row],[d_cm]]^2))/40000</f>
        <v>3.8498615757489585E-2</v>
      </c>
      <c r="F1517" s="56">
        <f>Pinus[[#This Row],[gi_m²]]*Pinus[[#This Row],[h_m]]*0.45</f>
        <v>0.21205037559225265</v>
      </c>
    </row>
    <row r="1518" spans="1:6" x14ac:dyDescent="0.3">
      <c r="A1518" s="37">
        <v>16</v>
      </c>
      <c r="B1518" s="37">
        <v>17</v>
      </c>
      <c r="C1518" s="55">
        <v>18.899999999999999</v>
      </c>
      <c r="D1518" s="55">
        <v>11.69</v>
      </c>
      <c r="E1518" s="56">
        <f>(PI()*(Pinus[[#This Row],[d_cm]]^2))/40000</f>
        <v>2.8055207794720247E-2</v>
      </c>
      <c r="F1518" s="56">
        <f>Pinus[[#This Row],[gi_m²]]*Pinus[[#This Row],[h_m]]*0.45</f>
        <v>0.14758442060412585</v>
      </c>
    </row>
    <row r="1519" spans="1:6" x14ac:dyDescent="0.3">
      <c r="A1519" s="37">
        <v>16</v>
      </c>
      <c r="B1519" s="37">
        <v>18</v>
      </c>
      <c r="C1519" s="55">
        <v>22.73</v>
      </c>
      <c r="D1519" s="55">
        <v>12.33</v>
      </c>
      <c r="E1519" s="56">
        <f>(PI()*(Pinus[[#This Row],[d_cm]]^2))/40000</f>
        <v>4.0577823877396557E-2</v>
      </c>
      <c r="F1519" s="56">
        <f>Pinus[[#This Row],[gi_m²]]*Pinus[[#This Row],[h_m]]*0.45</f>
        <v>0.22514605578373478</v>
      </c>
    </row>
    <row r="1520" spans="1:6" x14ac:dyDescent="0.3">
      <c r="A1520" s="37">
        <v>16</v>
      </c>
      <c r="B1520" s="37">
        <v>19</v>
      </c>
      <c r="C1520" s="55">
        <v>19.53</v>
      </c>
      <c r="D1520" s="55">
        <v>11.8</v>
      </c>
      <c r="E1520" s="56">
        <f>(PI()*(Pinus[[#This Row],[d_cm]]^2))/40000</f>
        <v>2.9956727434140181E-2</v>
      </c>
      <c r="F1520" s="56">
        <f>Pinus[[#This Row],[gi_m²]]*Pinus[[#This Row],[h_m]]*0.45</f>
        <v>0.15907022267528437</v>
      </c>
    </row>
    <row r="1521" spans="1:6" x14ac:dyDescent="0.3">
      <c r="A1521" s="37">
        <v>16</v>
      </c>
      <c r="B1521" s="37">
        <v>20</v>
      </c>
      <c r="C1521" s="55">
        <v>18.62</v>
      </c>
      <c r="D1521" s="55">
        <v>11.64</v>
      </c>
      <c r="E1521" s="56">
        <f>(PI()*(Pinus[[#This Row],[d_cm]]^2))/40000</f>
        <v>2.7230099900181427E-2</v>
      </c>
      <c r="F1521" s="56">
        <f>Pinus[[#This Row],[gi_m²]]*Pinus[[#This Row],[h_m]]*0.45</f>
        <v>0.14263126327715031</v>
      </c>
    </row>
    <row r="1522" spans="1:6" x14ac:dyDescent="0.3">
      <c r="A1522" s="37">
        <v>16</v>
      </c>
      <c r="B1522" s="37">
        <v>21</v>
      </c>
      <c r="C1522" s="55">
        <v>20.45</v>
      </c>
      <c r="D1522" s="55">
        <v>11.96</v>
      </c>
      <c r="E1522" s="56">
        <f>(PI()*(Pinus[[#This Row],[d_cm]]^2))/40000</f>
        <v>3.2845547542822137E-2</v>
      </c>
      <c r="F1522" s="56">
        <f>Pinus[[#This Row],[gi_m²]]*Pinus[[#This Row],[h_m]]*0.45</f>
        <v>0.17677473687546877</v>
      </c>
    </row>
    <row r="1523" spans="1:6" x14ac:dyDescent="0.3">
      <c r="A1523" s="37">
        <v>16</v>
      </c>
      <c r="B1523" s="37">
        <v>22</v>
      </c>
      <c r="C1523" s="55">
        <v>18.87</v>
      </c>
      <c r="D1523" s="55">
        <v>11.68</v>
      </c>
      <c r="E1523" s="56">
        <f>(PI()*(Pinus[[#This Row],[d_cm]]^2))/40000</f>
        <v>2.7966214328825685E-2</v>
      </c>
      <c r="F1523" s="56">
        <f>Pinus[[#This Row],[gi_m²]]*Pinus[[#This Row],[h_m]]*0.45</f>
        <v>0.14699042251230779</v>
      </c>
    </row>
    <row r="1524" spans="1:6" x14ac:dyDescent="0.3">
      <c r="A1524" s="37">
        <v>16</v>
      </c>
      <c r="B1524" s="37">
        <v>23</v>
      </c>
      <c r="C1524" s="55">
        <v>17.64</v>
      </c>
      <c r="D1524" s="55">
        <v>11.45</v>
      </c>
      <c r="E1524" s="56">
        <f>(PI()*(Pinus[[#This Row],[d_cm]]^2))/40000</f>
        <v>2.4439203234511861E-2</v>
      </c>
      <c r="F1524" s="56">
        <f>Pinus[[#This Row],[gi_m²]]*Pinus[[#This Row],[h_m]]*0.45</f>
        <v>0.12592299466582235</v>
      </c>
    </row>
    <row r="1525" spans="1:6" x14ac:dyDescent="0.3">
      <c r="A1525" s="37">
        <v>16</v>
      </c>
      <c r="B1525" s="37">
        <v>24</v>
      </c>
      <c r="C1525" s="55">
        <v>18.739999999999998</v>
      </c>
      <c r="D1525" s="55">
        <v>11.66</v>
      </c>
      <c r="E1525" s="56">
        <f>(PI()*(Pinus[[#This Row],[d_cm]]^2))/40000</f>
        <v>2.7582209604795765E-2</v>
      </c>
      <c r="F1525" s="56">
        <f>Pinus[[#This Row],[gi_m²]]*Pinus[[#This Row],[h_m]]*0.45</f>
        <v>0.14472385379636338</v>
      </c>
    </row>
    <row r="1526" spans="1:6" x14ac:dyDescent="0.3">
      <c r="A1526" s="37">
        <v>16</v>
      </c>
      <c r="B1526" s="37">
        <v>25</v>
      </c>
      <c r="C1526" s="55">
        <v>19.97</v>
      </c>
      <c r="D1526" s="55">
        <v>11.88</v>
      </c>
      <c r="E1526" s="56">
        <f>(PI()*(Pinus[[#This Row],[d_cm]]^2))/40000</f>
        <v>3.1321749442124937E-2</v>
      </c>
      <c r="F1526" s="56">
        <f>Pinus[[#This Row],[gi_m²]]*Pinus[[#This Row],[h_m]]*0.45</f>
        <v>0.16744607251759994</v>
      </c>
    </row>
    <row r="1527" spans="1:6" x14ac:dyDescent="0.3">
      <c r="A1527" s="37">
        <v>16</v>
      </c>
      <c r="B1527" s="37">
        <v>26</v>
      </c>
      <c r="C1527" s="55">
        <v>20.83</v>
      </c>
      <c r="D1527" s="55">
        <v>12.02</v>
      </c>
      <c r="E1527" s="56">
        <f>(PI()*(Pinus[[#This Row],[d_cm]]^2))/40000</f>
        <v>3.4077554517853909E-2</v>
      </c>
      <c r="F1527" s="56">
        <f>Pinus[[#This Row],[gi_m²]]*Pinus[[#This Row],[h_m]]*0.45</f>
        <v>0.1843254923870718</v>
      </c>
    </row>
    <row r="1528" spans="1:6" x14ac:dyDescent="0.3">
      <c r="A1528" s="37">
        <v>16</v>
      </c>
      <c r="B1528" s="37">
        <v>27</v>
      </c>
      <c r="C1528" s="55">
        <v>26.13</v>
      </c>
      <c r="D1528" s="55">
        <v>12.81</v>
      </c>
      <c r="E1528" s="56">
        <f>(PI()*(Pinus[[#This Row],[d_cm]]^2))/40000</f>
        <v>5.3625172327020312E-2</v>
      </c>
      <c r="F1528" s="56">
        <f>Pinus[[#This Row],[gi_m²]]*Pinus[[#This Row],[h_m]]*0.45</f>
        <v>0.30912230587910861</v>
      </c>
    </row>
    <row r="1529" spans="1:6" x14ac:dyDescent="0.3">
      <c r="A1529" s="37">
        <v>16</v>
      </c>
      <c r="B1529" s="37">
        <v>28</v>
      </c>
      <c r="C1529" s="55">
        <v>14.57</v>
      </c>
      <c r="D1529" s="55">
        <v>10.79</v>
      </c>
      <c r="E1529" s="56">
        <f>(PI()*(Pinus[[#This Row],[d_cm]]^2))/40000</f>
        <v>1.6672817057701097E-2</v>
      </c>
      <c r="F1529" s="56">
        <f>Pinus[[#This Row],[gi_m²]]*Pinus[[#This Row],[h_m]]*0.45</f>
        <v>8.095486322366767E-2</v>
      </c>
    </row>
    <row r="1530" spans="1:6" x14ac:dyDescent="0.3">
      <c r="A1530" s="37">
        <v>16</v>
      </c>
      <c r="B1530" s="37">
        <v>29</v>
      </c>
      <c r="C1530" s="55">
        <v>19.2</v>
      </c>
      <c r="D1530" s="55">
        <v>11.74</v>
      </c>
      <c r="E1530" s="56">
        <f>(PI()*(Pinus[[#This Row],[d_cm]]^2))/40000</f>
        <v>2.8952917895483536E-2</v>
      </c>
      <c r="F1530" s="56">
        <f>Pinus[[#This Row],[gi_m²]]*Pinus[[#This Row],[h_m]]*0.45</f>
        <v>0.15295826524183953</v>
      </c>
    </row>
    <row r="1531" spans="1:6" x14ac:dyDescent="0.3">
      <c r="A1531" s="37">
        <v>16</v>
      </c>
      <c r="B1531" s="37">
        <v>30</v>
      </c>
      <c r="C1531" s="55">
        <v>22.53</v>
      </c>
      <c r="D1531" s="55">
        <v>12.3</v>
      </c>
      <c r="E1531" s="56">
        <f>(PI()*(Pinus[[#This Row],[d_cm]]^2))/40000</f>
        <v>3.9866881459889182E-2</v>
      </c>
      <c r="F1531" s="56">
        <f>Pinus[[#This Row],[gi_m²]]*Pinus[[#This Row],[h_m]]*0.45</f>
        <v>0.22066318888048664</v>
      </c>
    </row>
    <row r="1532" spans="1:6" x14ac:dyDescent="0.3">
      <c r="A1532" s="37">
        <v>16</v>
      </c>
      <c r="B1532" s="37">
        <v>31</v>
      </c>
      <c r="C1532" s="55">
        <v>27.05</v>
      </c>
      <c r="D1532" s="55">
        <v>12.93</v>
      </c>
      <c r="E1532" s="56">
        <f>(PI()*(Pinus[[#This Row],[d_cm]]^2))/40000</f>
        <v>5.7467779965332137E-2</v>
      </c>
      <c r="F1532" s="56">
        <f>Pinus[[#This Row],[gi_m²]]*Pinus[[#This Row],[h_m]]*0.45</f>
        <v>0.33437627772828504</v>
      </c>
    </row>
    <row r="1533" spans="1:6" x14ac:dyDescent="0.3">
      <c r="A1533" s="37">
        <v>16</v>
      </c>
      <c r="B1533" s="37">
        <v>32</v>
      </c>
      <c r="C1533" s="55">
        <v>21.7</v>
      </c>
      <c r="D1533" s="55">
        <v>12.17</v>
      </c>
      <c r="E1533" s="56">
        <f>(PI()*(Pinus[[#This Row],[d_cm]]^2))/40000</f>
        <v>3.6983614116222439E-2</v>
      </c>
      <c r="F1533" s="56">
        <f>Pinus[[#This Row],[gi_m²]]*Pinus[[#This Row],[h_m]]*0.45</f>
        <v>0.20254076270749219</v>
      </c>
    </row>
    <row r="1534" spans="1:6" x14ac:dyDescent="0.3">
      <c r="A1534" s="37">
        <v>16</v>
      </c>
      <c r="B1534" s="37">
        <v>33</v>
      </c>
      <c r="C1534" s="55">
        <v>19.940000000000001</v>
      </c>
      <c r="D1534" s="55">
        <v>11.87</v>
      </c>
      <c r="E1534" s="56">
        <f>(PI()*(Pinus[[#This Row],[d_cm]]^2))/40000</f>
        <v>3.122771372002137E-2</v>
      </c>
      <c r="F1534" s="56">
        <f>Pinus[[#This Row],[gi_m²]]*Pinus[[#This Row],[h_m]]*0.45</f>
        <v>0.16680283283549416</v>
      </c>
    </row>
    <row r="1535" spans="1:6" x14ac:dyDescent="0.3">
      <c r="A1535" s="37">
        <v>16</v>
      </c>
      <c r="B1535" s="37">
        <v>34</v>
      </c>
      <c r="C1535" s="55">
        <v>18.77</v>
      </c>
      <c r="D1535" s="55">
        <v>11.66</v>
      </c>
      <c r="E1535" s="56">
        <f>(PI()*(Pinus[[#This Row],[d_cm]]^2))/40000</f>
        <v>2.7670590460122883E-2</v>
      </c>
      <c r="F1535" s="56">
        <f>Pinus[[#This Row],[gi_m²]]*Pinus[[#This Row],[h_m]]*0.45</f>
        <v>0.14518758814426477</v>
      </c>
    </row>
    <row r="1536" spans="1:6" x14ac:dyDescent="0.3">
      <c r="A1536" s="37">
        <v>16</v>
      </c>
      <c r="B1536" s="37">
        <v>35</v>
      </c>
      <c r="C1536" s="55">
        <v>21.66</v>
      </c>
      <c r="D1536" s="55">
        <v>12.16</v>
      </c>
      <c r="E1536" s="56">
        <f>(PI()*(Pinus[[#This Row],[d_cm]]^2))/40000</f>
        <v>3.6847394658762786E-2</v>
      </c>
      <c r="F1536" s="56">
        <f>Pinus[[#This Row],[gi_m²]]*Pinus[[#This Row],[h_m]]*0.45</f>
        <v>0.20162894357274996</v>
      </c>
    </row>
    <row r="1537" spans="1:6" x14ac:dyDescent="0.3">
      <c r="A1537" s="37">
        <v>16</v>
      </c>
      <c r="B1537" s="37">
        <v>36</v>
      </c>
      <c r="C1537" s="55">
        <v>23.96</v>
      </c>
      <c r="D1537" s="55">
        <v>12.51</v>
      </c>
      <c r="E1537" s="56">
        <f>(PI()*(Pinus[[#This Row],[d_cm]]^2))/40000</f>
        <v>4.508826342802686E-2</v>
      </c>
      <c r="F1537" s="56">
        <f>Pinus[[#This Row],[gi_m²]]*Pinus[[#This Row],[h_m]]*0.45</f>
        <v>0.25382437896807719</v>
      </c>
    </row>
    <row r="1538" spans="1:6" x14ac:dyDescent="0.3">
      <c r="A1538" s="37">
        <v>16</v>
      </c>
      <c r="B1538" s="37">
        <v>37</v>
      </c>
      <c r="C1538" s="55">
        <v>19.260000000000002</v>
      </c>
      <c r="D1538" s="55">
        <v>11.75</v>
      </c>
      <c r="E1538" s="56">
        <f>(PI()*(Pinus[[#This Row],[d_cm]]^2))/40000</f>
        <v>2.9134156375669136E-2</v>
      </c>
      <c r="F1538" s="56">
        <f>Pinus[[#This Row],[gi_m²]]*Pinus[[#This Row],[h_m]]*0.45</f>
        <v>0.15404685183635056</v>
      </c>
    </row>
    <row r="1539" spans="1:6" x14ac:dyDescent="0.3">
      <c r="A1539" s="37">
        <v>16</v>
      </c>
      <c r="B1539" s="37">
        <v>38</v>
      </c>
      <c r="C1539" s="55">
        <v>20.66</v>
      </c>
      <c r="D1539" s="55">
        <v>12</v>
      </c>
      <c r="E1539" s="56">
        <f>(PI()*(Pinus[[#This Row],[d_cm]]^2))/40000</f>
        <v>3.352358963126479E-2</v>
      </c>
      <c r="F1539" s="56">
        <f>Pinus[[#This Row],[gi_m²]]*Pinus[[#This Row],[h_m]]*0.45</f>
        <v>0.18102738400882989</v>
      </c>
    </row>
    <row r="1540" spans="1:6" x14ac:dyDescent="0.3">
      <c r="A1540" s="37">
        <v>16</v>
      </c>
      <c r="B1540" s="37">
        <v>39</v>
      </c>
      <c r="C1540" s="55">
        <v>20.87</v>
      </c>
      <c r="D1540" s="55">
        <v>12.03</v>
      </c>
      <c r="E1540" s="56">
        <f>(PI()*(Pinus[[#This Row],[d_cm]]^2))/40000</f>
        <v>3.4208558931508606E-2</v>
      </c>
      <c r="F1540" s="56">
        <f>Pinus[[#This Row],[gi_m²]]*Pinus[[#This Row],[h_m]]*0.45</f>
        <v>0.18518803377572182</v>
      </c>
    </row>
    <row r="1541" spans="1:6" x14ac:dyDescent="0.3">
      <c r="A1541" s="37">
        <v>16</v>
      </c>
      <c r="B1541" s="37">
        <v>40</v>
      </c>
      <c r="C1541" s="55">
        <v>22.92</v>
      </c>
      <c r="D1541" s="55">
        <v>12.36</v>
      </c>
      <c r="E1541" s="56">
        <f>(PI()*(Pinus[[#This Row],[d_cm]]^2))/40000</f>
        <v>4.1259038974419335E-2</v>
      </c>
      <c r="F1541" s="56">
        <f>Pinus[[#This Row],[gi_m²]]*Pinus[[#This Row],[h_m]]*0.45</f>
        <v>0.22948277477572032</v>
      </c>
    </row>
    <row r="1542" spans="1:6" x14ac:dyDescent="0.3">
      <c r="A1542" s="37">
        <v>16</v>
      </c>
      <c r="B1542" s="37">
        <v>41</v>
      </c>
      <c r="C1542" s="55">
        <v>24.45</v>
      </c>
      <c r="D1542" s="55">
        <v>12.58</v>
      </c>
      <c r="E1542" s="56">
        <f>(PI()*(Pinus[[#This Row],[d_cm]]^2))/40000</f>
        <v>4.6951298557440312E-2</v>
      </c>
      <c r="F1542" s="56">
        <f>Pinus[[#This Row],[gi_m²]]*Pinus[[#This Row],[h_m]]*0.45</f>
        <v>0.26579130113366961</v>
      </c>
    </row>
    <row r="1543" spans="1:6" x14ac:dyDescent="0.3">
      <c r="A1543" s="37">
        <v>16</v>
      </c>
      <c r="B1543" s="37">
        <v>42</v>
      </c>
      <c r="C1543" s="55">
        <v>21.12</v>
      </c>
      <c r="D1543" s="55">
        <v>12.07</v>
      </c>
      <c r="E1543" s="56">
        <f>(PI()*(Pinus[[#This Row],[d_cm]]^2))/40000</f>
        <v>3.503303065353508E-2</v>
      </c>
      <c r="F1543" s="56">
        <f>Pinus[[#This Row],[gi_m²]]*Pinus[[#This Row],[h_m]]*0.45</f>
        <v>0.19028190599467582</v>
      </c>
    </row>
    <row r="1544" spans="1:6" x14ac:dyDescent="0.3">
      <c r="A1544" s="37">
        <v>16</v>
      </c>
      <c r="B1544" s="37">
        <v>43</v>
      </c>
      <c r="C1544" s="55">
        <v>19.7</v>
      </c>
      <c r="D1544" s="55">
        <v>11.83</v>
      </c>
      <c r="E1544" s="56">
        <f>(PI()*(Pinus[[#This Row],[d_cm]]^2))/40000</f>
        <v>3.0480517323291569E-2</v>
      </c>
      <c r="F1544" s="56">
        <f>Pinus[[#This Row],[gi_m²]]*Pinus[[#This Row],[h_m]]*0.45</f>
        <v>0.16226303397054267</v>
      </c>
    </row>
    <row r="1545" spans="1:6" x14ac:dyDescent="0.3">
      <c r="A1545" s="37">
        <v>16</v>
      </c>
      <c r="B1545" s="37">
        <v>44</v>
      </c>
      <c r="C1545" s="55">
        <v>25.58</v>
      </c>
      <c r="D1545" s="55">
        <v>12.74</v>
      </c>
      <c r="E1545" s="56">
        <f>(PI()*(Pinus[[#This Row],[d_cm]]^2))/40000</f>
        <v>5.1391460680409798E-2</v>
      </c>
      <c r="F1545" s="56">
        <f>Pinus[[#This Row],[gi_m²]]*Pinus[[#This Row],[h_m]]*0.45</f>
        <v>0.29462724408078939</v>
      </c>
    </row>
    <row r="1546" spans="1:6" x14ac:dyDescent="0.3">
      <c r="A1546" s="37">
        <v>16</v>
      </c>
      <c r="B1546" s="37">
        <v>45</v>
      </c>
      <c r="C1546" s="55">
        <v>20.66</v>
      </c>
      <c r="D1546" s="55">
        <v>12</v>
      </c>
      <c r="E1546" s="56">
        <f>(PI()*(Pinus[[#This Row],[d_cm]]^2))/40000</f>
        <v>3.352358963126479E-2</v>
      </c>
      <c r="F1546" s="56">
        <f>Pinus[[#This Row],[gi_m²]]*Pinus[[#This Row],[h_m]]*0.45</f>
        <v>0.18102738400882989</v>
      </c>
    </row>
    <row r="1547" spans="1:6" x14ac:dyDescent="0.3">
      <c r="A1547" s="37">
        <v>16</v>
      </c>
      <c r="B1547" s="37">
        <v>46</v>
      </c>
      <c r="C1547" s="55">
        <v>26.31</v>
      </c>
      <c r="D1547" s="55">
        <v>12.83</v>
      </c>
      <c r="E1547" s="56">
        <f>(PI()*(Pinus[[#This Row],[d_cm]]^2))/40000</f>
        <v>5.4366525361414439E-2</v>
      </c>
      <c r="F1547" s="56">
        <f>Pinus[[#This Row],[gi_m²]]*Pinus[[#This Row],[h_m]]*0.45</f>
        <v>0.31388513417412628</v>
      </c>
    </row>
    <row r="1548" spans="1:6" x14ac:dyDescent="0.3">
      <c r="A1548" s="37">
        <v>16</v>
      </c>
      <c r="B1548" s="37">
        <v>47</v>
      </c>
      <c r="C1548" s="55">
        <v>19.75</v>
      </c>
      <c r="D1548" s="55">
        <v>11.84</v>
      </c>
      <c r="E1548" s="56">
        <f>(PI()*(Pinus[[#This Row],[d_cm]]^2))/40000</f>
        <v>3.0635437111021718E-2</v>
      </c>
      <c r="F1548" s="56">
        <f>Pinus[[#This Row],[gi_m²]]*Pinus[[#This Row],[h_m]]*0.45</f>
        <v>0.16322560892752372</v>
      </c>
    </row>
    <row r="1549" spans="1:6" x14ac:dyDescent="0.3">
      <c r="A1549" s="37">
        <v>16</v>
      </c>
      <c r="B1549" s="37">
        <v>48</v>
      </c>
      <c r="C1549" s="55">
        <v>22.46</v>
      </c>
      <c r="D1549" s="55">
        <v>12.28</v>
      </c>
      <c r="E1549" s="56">
        <f>(PI()*(Pinus[[#This Row],[d_cm]]^2))/40000</f>
        <v>3.9619536016290424E-2</v>
      </c>
      <c r="F1549" s="56">
        <f>Pinus[[#This Row],[gi_m²]]*Pinus[[#This Row],[h_m]]*0.45</f>
        <v>0.21893755602602089</v>
      </c>
    </row>
    <row r="1550" spans="1:6" x14ac:dyDescent="0.3">
      <c r="A1550" s="37">
        <v>16</v>
      </c>
      <c r="B1550" s="37">
        <v>49</v>
      </c>
      <c r="C1550" s="55">
        <v>13.82</v>
      </c>
      <c r="D1550" s="55">
        <v>10.6</v>
      </c>
      <c r="E1550" s="56">
        <f>(PI()*(Pinus[[#This Row],[d_cm]]^2))/40000</f>
        <v>1.5000508018287081E-2</v>
      </c>
      <c r="F1550" s="56">
        <f>Pinus[[#This Row],[gi_m²]]*Pinus[[#This Row],[h_m]]*0.45</f>
        <v>7.155242324722938E-2</v>
      </c>
    </row>
    <row r="1551" spans="1:6" x14ac:dyDescent="0.3">
      <c r="A1551" s="37">
        <v>16</v>
      </c>
      <c r="B1551" s="37">
        <v>50</v>
      </c>
      <c r="C1551" s="55">
        <v>19.55</v>
      </c>
      <c r="D1551" s="55">
        <v>11.8</v>
      </c>
      <c r="E1551" s="56">
        <f>(PI()*(Pinus[[#This Row],[d_cm]]^2))/40000</f>
        <v>3.0018114154591324E-2</v>
      </c>
      <c r="F1551" s="56">
        <f>Pinus[[#This Row],[gi_m²]]*Pinus[[#This Row],[h_m]]*0.45</f>
        <v>0.15939618616087994</v>
      </c>
    </row>
    <row r="1552" spans="1:6" x14ac:dyDescent="0.3">
      <c r="A1552" s="37">
        <v>16</v>
      </c>
      <c r="B1552" s="37">
        <v>51</v>
      </c>
      <c r="C1552" s="55">
        <v>19.91</v>
      </c>
      <c r="D1552" s="55">
        <v>11.87</v>
      </c>
      <c r="E1552" s="56">
        <f>(PI()*(Pinus[[#This Row],[d_cm]]^2))/40000</f>
        <v>3.1133819369587201E-2</v>
      </c>
      <c r="F1552" s="56">
        <f>Pinus[[#This Row],[gi_m²]]*Pinus[[#This Row],[h_m]]*0.45</f>
        <v>0.16630129616265002</v>
      </c>
    </row>
    <row r="1553" spans="1:6" x14ac:dyDescent="0.3">
      <c r="A1553" s="37">
        <v>16</v>
      </c>
      <c r="B1553" s="37">
        <v>52</v>
      </c>
      <c r="C1553" s="55">
        <v>16.97</v>
      </c>
      <c r="D1553" s="55">
        <v>11.31</v>
      </c>
      <c r="E1553" s="56">
        <f>(PI()*(Pinus[[#This Row],[d_cm]]^2))/40000</f>
        <v>2.261796699535442E-2</v>
      </c>
      <c r="F1553" s="56">
        <f>Pinus[[#This Row],[gi_m²]]*Pinus[[#This Row],[h_m]]*0.45</f>
        <v>0.11511414302285633</v>
      </c>
    </row>
    <row r="1554" spans="1:6" x14ac:dyDescent="0.3">
      <c r="A1554" s="37">
        <v>16</v>
      </c>
      <c r="B1554" s="37">
        <v>53</v>
      </c>
      <c r="C1554" s="55">
        <v>15.86</v>
      </c>
      <c r="D1554" s="55">
        <v>11.08</v>
      </c>
      <c r="E1554" s="56">
        <f>(PI()*(Pinus[[#This Row],[d_cm]]^2))/40000</f>
        <v>1.9755873986172876E-2</v>
      </c>
      <c r="F1554" s="56">
        <f>Pinus[[#This Row],[gi_m²]]*Pinus[[#This Row],[h_m]]*0.45</f>
        <v>9.8502787695057964E-2</v>
      </c>
    </row>
    <row r="1555" spans="1:6" x14ac:dyDescent="0.3">
      <c r="A1555" s="37">
        <v>16</v>
      </c>
      <c r="B1555" s="37">
        <v>54</v>
      </c>
      <c r="C1555" s="55">
        <v>23.79</v>
      </c>
      <c r="D1555" s="55">
        <v>12.49</v>
      </c>
      <c r="E1555" s="56">
        <f>(PI()*(Pinus[[#This Row],[d_cm]]^2))/40000</f>
        <v>4.4450716468888971E-2</v>
      </c>
      <c r="F1555" s="56">
        <f>Pinus[[#This Row],[gi_m²]]*Pinus[[#This Row],[h_m]]*0.45</f>
        <v>0.24983525191339048</v>
      </c>
    </row>
    <row r="1556" spans="1:6" x14ac:dyDescent="0.3">
      <c r="A1556" s="37">
        <v>16</v>
      </c>
      <c r="B1556" s="37">
        <v>55</v>
      </c>
      <c r="C1556" s="55">
        <v>23.66</v>
      </c>
      <c r="D1556" s="55">
        <v>12.47</v>
      </c>
      <c r="E1556" s="56">
        <f>(PI()*(Pinus[[#This Row],[d_cm]]^2))/40000</f>
        <v>4.3966243611797261E-2</v>
      </c>
      <c r="F1556" s="56">
        <f>Pinus[[#This Row],[gi_m²]]*Pinus[[#This Row],[h_m]]*0.45</f>
        <v>0.24671657602760036</v>
      </c>
    </row>
    <row r="1557" spans="1:6" x14ac:dyDescent="0.3">
      <c r="A1557" s="37">
        <v>16</v>
      </c>
      <c r="B1557" s="37">
        <v>56</v>
      </c>
      <c r="C1557" s="55">
        <v>14.81</v>
      </c>
      <c r="D1557" s="55">
        <v>10.84</v>
      </c>
      <c r="E1557" s="56">
        <f>(PI()*(Pinus[[#This Row],[d_cm]]^2))/40000</f>
        <v>1.7226617010675908E-2</v>
      </c>
      <c r="F1557" s="56">
        <f>Pinus[[#This Row],[gi_m²]]*Pinus[[#This Row],[h_m]]*0.45</f>
        <v>8.4031437778077075E-2</v>
      </c>
    </row>
    <row r="1558" spans="1:6" x14ac:dyDescent="0.3">
      <c r="A1558" s="37">
        <v>16</v>
      </c>
      <c r="B1558" s="37">
        <v>57</v>
      </c>
      <c r="C1558" s="55">
        <v>21.7</v>
      </c>
      <c r="D1558" s="55">
        <v>12.17</v>
      </c>
      <c r="E1558" s="56">
        <f>(PI()*(Pinus[[#This Row],[d_cm]]^2))/40000</f>
        <v>3.6983614116222439E-2</v>
      </c>
      <c r="F1558" s="56">
        <f>Pinus[[#This Row],[gi_m²]]*Pinus[[#This Row],[h_m]]*0.45</f>
        <v>0.20254076270749219</v>
      </c>
    </row>
    <row r="1559" spans="1:6" x14ac:dyDescent="0.3">
      <c r="A1559" s="37">
        <v>16</v>
      </c>
      <c r="B1559" s="37">
        <v>58</v>
      </c>
      <c r="C1559" s="55">
        <v>15.55</v>
      </c>
      <c r="D1559" s="55">
        <v>11.01</v>
      </c>
      <c r="E1559" s="56">
        <f>(PI()*(Pinus[[#This Row],[d_cm]]^2))/40000</f>
        <v>1.8991123940491149E-2</v>
      </c>
      <c r="F1559" s="56">
        <f>Pinus[[#This Row],[gi_m²]]*Pinus[[#This Row],[h_m]]*0.45</f>
        <v>9.4091523563163401E-2</v>
      </c>
    </row>
    <row r="1560" spans="1:6" x14ac:dyDescent="0.3">
      <c r="A1560" s="37">
        <v>16</v>
      </c>
      <c r="B1560" s="37">
        <v>59</v>
      </c>
      <c r="C1560" s="55">
        <v>15.8</v>
      </c>
      <c r="D1560" s="55">
        <v>11.07</v>
      </c>
      <c r="E1560" s="56">
        <f>(PI()*(Pinus[[#This Row],[d_cm]]^2))/40000</f>
        <v>1.9606679751053901E-2</v>
      </c>
      <c r="F1560" s="56">
        <f>Pinus[[#This Row],[gi_m²]]*Pinus[[#This Row],[h_m]]*0.45</f>
        <v>9.7670675179875016E-2</v>
      </c>
    </row>
    <row r="1561" spans="1:6" x14ac:dyDescent="0.3">
      <c r="A1561" s="37">
        <v>16</v>
      </c>
      <c r="B1561" s="37">
        <v>60</v>
      </c>
      <c r="C1561" s="55">
        <v>22.1</v>
      </c>
      <c r="D1561" s="55">
        <v>12.23</v>
      </c>
      <c r="E1561" s="56">
        <f>(PI()*(Pinus[[#This Row],[d_cm]]^2))/40000</f>
        <v>3.8359631698494781E-2</v>
      </c>
      <c r="F1561" s="56">
        <f>Pinus[[#This Row],[gi_m²]]*Pinus[[#This Row],[h_m]]*0.45</f>
        <v>0.21111223305266605</v>
      </c>
    </row>
    <row r="1562" spans="1:6" x14ac:dyDescent="0.3">
      <c r="A1562" s="37">
        <v>16</v>
      </c>
      <c r="B1562" s="37">
        <v>61</v>
      </c>
      <c r="C1562" s="55">
        <v>17.260000000000002</v>
      </c>
      <c r="D1562" s="55">
        <v>11.37</v>
      </c>
      <c r="E1562" s="56">
        <f>(PI()*(Pinus[[#This Row],[d_cm]]^2))/40000</f>
        <v>2.3397608190214171E-2</v>
      </c>
      <c r="F1562" s="56">
        <f>Pinus[[#This Row],[gi_m²]]*Pinus[[#This Row],[h_m]]*0.45</f>
        <v>0.11971386230523079</v>
      </c>
    </row>
    <row r="1563" spans="1:6" x14ac:dyDescent="0.3">
      <c r="A1563" s="37">
        <v>16</v>
      </c>
      <c r="B1563" s="37">
        <v>62</v>
      </c>
      <c r="C1563" s="55">
        <v>23.97</v>
      </c>
      <c r="D1563" s="55">
        <v>12.51</v>
      </c>
      <c r="E1563" s="56">
        <f>(PI()*(Pinus[[#This Row],[d_cm]]^2))/40000</f>
        <v>4.5125907561998489E-2</v>
      </c>
      <c r="F1563" s="56">
        <f>Pinus[[#This Row],[gi_m²]]*Pinus[[#This Row],[h_m]]*0.45</f>
        <v>0.2540362966202705</v>
      </c>
    </row>
    <row r="1564" spans="1:6" x14ac:dyDescent="0.3">
      <c r="A1564" s="37">
        <v>16</v>
      </c>
      <c r="B1564" s="37">
        <v>63</v>
      </c>
      <c r="C1564" s="55">
        <v>20.149999999999999</v>
      </c>
      <c r="D1564" s="55">
        <v>11.91</v>
      </c>
      <c r="E1564" s="56">
        <f>(PI()*(Pinus[[#This Row],[d_cm]]^2))/40000</f>
        <v>3.188893257980404E-2</v>
      </c>
      <c r="F1564" s="56">
        <f>Pinus[[#This Row],[gi_m²]]*Pinus[[#This Row],[h_m]]*0.45</f>
        <v>0.17090873416145974</v>
      </c>
    </row>
    <row r="1565" spans="1:6" x14ac:dyDescent="0.3">
      <c r="A1565" s="37">
        <v>16</v>
      </c>
      <c r="B1565" s="37">
        <v>64</v>
      </c>
      <c r="C1565" s="55">
        <v>22.14</v>
      </c>
      <c r="D1565" s="55">
        <v>12.24</v>
      </c>
      <c r="E1565" s="56">
        <f>(PI()*(Pinus[[#This Row],[d_cm]]^2))/40000</f>
        <v>3.8498615757489585E-2</v>
      </c>
      <c r="F1565" s="56">
        <f>Pinus[[#This Row],[gi_m²]]*Pinus[[#This Row],[h_m]]*0.45</f>
        <v>0.21205037559225265</v>
      </c>
    </row>
    <row r="1566" spans="1:6" x14ac:dyDescent="0.3">
      <c r="A1566" s="37">
        <v>16</v>
      </c>
      <c r="B1566" s="37">
        <v>65</v>
      </c>
      <c r="C1566" s="55">
        <v>17.91</v>
      </c>
      <c r="D1566" s="55">
        <v>11.5</v>
      </c>
      <c r="E1566" s="56">
        <f>(PI()*(Pinus[[#This Row],[d_cm]]^2))/40000</f>
        <v>2.5193067661648902E-2</v>
      </c>
      <c r="F1566" s="56">
        <f>Pinus[[#This Row],[gi_m²]]*Pinus[[#This Row],[h_m]]*0.45</f>
        <v>0.13037412514903307</v>
      </c>
    </row>
    <row r="1567" spans="1:6" x14ac:dyDescent="0.3">
      <c r="A1567" s="37">
        <v>16</v>
      </c>
      <c r="B1567" s="37">
        <v>66</v>
      </c>
      <c r="C1567" s="55">
        <v>15.4</v>
      </c>
      <c r="D1567" s="55">
        <v>10.98</v>
      </c>
      <c r="E1567" s="56">
        <f>(PI()*(Pinus[[#This Row],[d_cm]]^2))/40000</f>
        <v>1.8626502843133885E-2</v>
      </c>
      <c r="F1567" s="56">
        <f>Pinus[[#This Row],[gi_m²]]*Pinus[[#This Row],[h_m]]*0.45</f>
        <v>9.2033550547924531E-2</v>
      </c>
    </row>
    <row r="1568" spans="1:6" x14ac:dyDescent="0.3">
      <c r="A1568" s="37">
        <v>16</v>
      </c>
      <c r="B1568" s="37">
        <v>67</v>
      </c>
      <c r="C1568" s="55">
        <v>23.66</v>
      </c>
      <c r="D1568" s="55">
        <v>12.47</v>
      </c>
      <c r="E1568" s="56">
        <f>(PI()*(Pinus[[#This Row],[d_cm]]^2))/40000</f>
        <v>4.3966243611797261E-2</v>
      </c>
      <c r="F1568" s="56">
        <f>Pinus[[#This Row],[gi_m²]]*Pinus[[#This Row],[h_m]]*0.45</f>
        <v>0.24671657602760036</v>
      </c>
    </row>
    <row r="1569" spans="1:6" x14ac:dyDescent="0.3">
      <c r="A1569" s="37">
        <v>16</v>
      </c>
      <c r="B1569" s="37">
        <v>68</v>
      </c>
      <c r="C1569" s="55">
        <v>20.95</v>
      </c>
      <c r="D1569" s="55">
        <v>12.04</v>
      </c>
      <c r="E1569" s="56">
        <f>(PI()*(Pinus[[#This Row],[d_cm]]^2))/40000</f>
        <v>3.4471321741054849E-2</v>
      </c>
      <c r="F1569" s="56">
        <f>Pinus[[#This Row],[gi_m²]]*Pinus[[#This Row],[h_m]]*0.45</f>
        <v>0.18676562119303516</v>
      </c>
    </row>
    <row r="1570" spans="1:6" x14ac:dyDescent="0.3">
      <c r="A1570" s="37">
        <v>16</v>
      </c>
      <c r="B1570" s="37">
        <v>69</v>
      </c>
      <c r="C1570" s="55">
        <v>19.04</v>
      </c>
      <c r="D1570" s="55">
        <v>11.71</v>
      </c>
      <c r="E1570" s="56">
        <f>(PI()*(Pinus[[#This Row],[d_cm]]^2))/40000</f>
        <v>2.847237988319044E-2</v>
      </c>
      <c r="F1570" s="56">
        <f>Pinus[[#This Row],[gi_m²]]*Pinus[[#This Row],[h_m]]*0.45</f>
        <v>0.15003520579447205</v>
      </c>
    </row>
    <row r="1571" spans="1:6" x14ac:dyDescent="0.3">
      <c r="A1571" s="37">
        <v>16</v>
      </c>
      <c r="B1571" s="37">
        <v>70</v>
      </c>
      <c r="C1571" s="55">
        <v>20.28</v>
      </c>
      <c r="D1571" s="55">
        <v>11.93</v>
      </c>
      <c r="E1571" s="56">
        <f>(PI()*(Pinus[[#This Row],[d_cm]]^2))/40000</f>
        <v>3.2301730000504111E-2</v>
      </c>
      <c r="F1571" s="56">
        <f>Pinus[[#This Row],[gi_m²]]*Pinus[[#This Row],[h_m]]*0.45</f>
        <v>0.17341183750770633</v>
      </c>
    </row>
    <row r="1572" spans="1:6" x14ac:dyDescent="0.3">
      <c r="A1572" s="37">
        <v>16</v>
      </c>
      <c r="B1572" s="37">
        <v>71</v>
      </c>
      <c r="C1572" s="55">
        <v>25.3</v>
      </c>
      <c r="D1572" s="55">
        <v>12.7</v>
      </c>
      <c r="E1572" s="56">
        <f>(PI()*(Pinus[[#This Row],[d_cm]]^2))/40000</f>
        <v>5.0272551040907269E-2</v>
      </c>
      <c r="F1572" s="56">
        <f>Pinus[[#This Row],[gi_m²]]*Pinus[[#This Row],[h_m]]*0.45</f>
        <v>0.28730762919878505</v>
      </c>
    </row>
    <row r="1573" spans="1:6" x14ac:dyDescent="0.3">
      <c r="A1573" s="37">
        <v>16</v>
      </c>
      <c r="B1573" s="37">
        <v>72</v>
      </c>
      <c r="C1573" s="55">
        <v>17.21</v>
      </c>
      <c r="D1573" s="55">
        <v>11.36</v>
      </c>
      <c r="E1573" s="56">
        <f>(PI()*(Pinus[[#This Row],[d_cm]]^2))/40000</f>
        <v>2.3262244816752622E-2</v>
      </c>
      <c r="F1573" s="56">
        <f>Pinus[[#This Row],[gi_m²]]*Pinus[[#This Row],[h_m]]*0.45</f>
        <v>0.11891659550323939</v>
      </c>
    </row>
    <row r="1574" spans="1:6" x14ac:dyDescent="0.3">
      <c r="A1574" s="37">
        <v>16</v>
      </c>
      <c r="B1574" s="37">
        <v>73</v>
      </c>
      <c r="C1574" s="55">
        <v>17</v>
      </c>
      <c r="D1574" s="55">
        <v>11.32</v>
      </c>
      <c r="E1574" s="56">
        <f>(PI()*(Pinus[[#This Row],[d_cm]]^2))/40000</f>
        <v>2.2698006922186254E-2</v>
      </c>
      <c r="F1574" s="56">
        <f>Pinus[[#This Row],[gi_m²]]*Pinus[[#This Row],[h_m]]*0.45</f>
        <v>0.11562364726161678</v>
      </c>
    </row>
    <row r="1575" spans="1:6" x14ac:dyDescent="0.3">
      <c r="A1575" s="37">
        <v>16</v>
      </c>
      <c r="B1575" s="37">
        <v>74</v>
      </c>
      <c r="C1575" s="55">
        <v>17.52</v>
      </c>
      <c r="D1575" s="55">
        <v>11.43</v>
      </c>
      <c r="E1575" s="56">
        <f>(PI()*(Pinus[[#This Row],[d_cm]]^2))/40000</f>
        <v>2.4107828041411209E-2</v>
      </c>
      <c r="F1575" s="56">
        <f>Pinus[[#This Row],[gi_m²]]*Pinus[[#This Row],[h_m]]*0.45</f>
        <v>0.12399861353099854</v>
      </c>
    </row>
    <row r="1576" spans="1:6" x14ac:dyDescent="0.3">
      <c r="A1576" s="37">
        <v>16</v>
      </c>
      <c r="B1576" s="37">
        <v>75</v>
      </c>
      <c r="C1576" s="55">
        <v>13.66</v>
      </c>
      <c r="D1576" s="55">
        <v>10.56</v>
      </c>
      <c r="E1576" s="56">
        <f>(PI()*(Pinus[[#This Row],[d_cm]]^2))/40000</f>
        <v>1.465518415380449E-2</v>
      </c>
      <c r="F1576" s="56">
        <f>Pinus[[#This Row],[gi_m²]]*Pinus[[#This Row],[h_m]]*0.45</f>
        <v>6.9641435098878934E-2</v>
      </c>
    </row>
    <row r="1577" spans="1:6" x14ac:dyDescent="0.3">
      <c r="A1577" s="37">
        <v>16</v>
      </c>
      <c r="B1577" s="37">
        <v>76</v>
      </c>
      <c r="C1577" s="55">
        <v>23.28</v>
      </c>
      <c r="D1577" s="55">
        <v>12.41</v>
      </c>
      <c r="E1577" s="56">
        <f>(PI()*(Pinus[[#This Row],[d_cm]]^2))/40000</f>
        <v>4.2565313199781969E-2</v>
      </c>
      <c r="F1577" s="56">
        <f>Pinus[[#This Row],[gi_m²]]*Pinus[[#This Row],[h_m]]*0.45</f>
        <v>0.23770599156418243</v>
      </c>
    </row>
    <row r="1578" spans="1:6" x14ac:dyDescent="0.3">
      <c r="A1578" s="37">
        <v>16</v>
      </c>
      <c r="B1578" s="37">
        <v>77</v>
      </c>
      <c r="C1578" s="55">
        <v>20.77</v>
      </c>
      <c r="D1578" s="55">
        <v>12.01</v>
      </c>
      <c r="E1578" s="56">
        <f>(PI()*(Pinus[[#This Row],[d_cm]]^2))/40000</f>
        <v>3.3881519136269904E-2</v>
      </c>
      <c r="F1578" s="56">
        <f>Pinus[[#This Row],[gi_m²]]*Pinus[[#This Row],[h_m]]*0.45</f>
        <v>0.18311267017197069</v>
      </c>
    </row>
    <row r="1579" spans="1:6" x14ac:dyDescent="0.3">
      <c r="A1579" s="37">
        <v>16</v>
      </c>
      <c r="B1579" s="37">
        <v>78</v>
      </c>
      <c r="C1579" s="55">
        <v>20.83</v>
      </c>
      <c r="D1579" s="55">
        <v>12.02</v>
      </c>
      <c r="E1579" s="56">
        <f>(PI()*(Pinus[[#This Row],[d_cm]]^2))/40000</f>
        <v>3.4077554517853909E-2</v>
      </c>
      <c r="F1579" s="56">
        <f>Pinus[[#This Row],[gi_m²]]*Pinus[[#This Row],[h_m]]*0.45</f>
        <v>0.1843254923870718</v>
      </c>
    </row>
    <row r="1580" spans="1:6" x14ac:dyDescent="0.3">
      <c r="A1580" s="37">
        <v>16</v>
      </c>
      <c r="B1580" s="37">
        <v>79</v>
      </c>
      <c r="C1580" s="55">
        <v>19.829999999999998</v>
      </c>
      <c r="D1580" s="55">
        <v>11.85</v>
      </c>
      <c r="E1580" s="56">
        <f>(PI()*(Pinus[[#This Row],[d_cm]]^2))/40000</f>
        <v>3.0884125585479882E-2</v>
      </c>
      <c r="F1580" s="56">
        <f>Pinus[[#This Row],[gi_m²]]*Pinus[[#This Row],[h_m]]*0.45</f>
        <v>0.16468959968457147</v>
      </c>
    </row>
    <row r="1581" spans="1:6" x14ac:dyDescent="0.3">
      <c r="A1581" s="37">
        <v>16</v>
      </c>
      <c r="B1581" s="37">
        <v>80</v>
      </c>
      <c r="C1581" s="55">
        <v>17.96</v>
      </c>
      <c r="D1581" s="55">
        <v>11.51</v>
      </c>
      <c r="E1581" s="56">
        <f>(PI()*(Pinus[[#This Row],[d_cm]]^2))/40000</f>
        <v>2.5333928822254239E-2</v>
      </c>
      <c r="F1581" s="56">
        <f>Pinus[[#This Row],[gi_m²]]*Pinus[[#This Row],[h_m]]*0.45</f>
        <v>0.13121708433486584</v>
      </c>
    </row>
    <row r="1582" spans="1:6" x14ac:dyDescent="0.3">
      <c r="A1582" s="37">
        <v>16</v>
      </c>
      <c r="B1582" s="37">
        <v>81</v>
      </c>
      <c r="C1582" s="55">
        <v>16.71</v>
      </c>
      <c r="D1582" s="55">
        <v>11.26</v>
      </c>
      <c r="E1582" s="56">
        <f>(PI()*(Pinus[[#This Row],[d_cm]]^2))/40000</f>
        <v>2.1930209531630548E-2</v>
      </c>
      <c r="F1582" s="56">
        <f>Pinus[[#This Row],[gi_m²]]*Pinus[[#This Row],[h_m]]*0.45</f>
        <v>0.111120371696772</v>
      </c>
    </row>
    <row r="1583" spans="1:6" x14ac:dyDescent="0.3">
      <c r="A1583" s="37">
        <v>16</v>
      </c>
      <c r="B1583" s="37">
        <v>82</v>
      </c>
      <c r="C1583" s="55">
        <v>23.41</v>
      </c>
      <c r="D1583" s="55">
        <v>12.43</v>
      </c>
      <c r="E1583" s="56">
        <f>(PI()*(Pinus[[#This Row],[d_cm]]^2))/40000</f>
        <v>4.3042026323019317E-2</v>
      </c>
      <c r="F1583" s="56">
        <f>Pinus[[#This Row],[gi_m²]]*Pinus[[#This Row],[h_m]]*0.45</f>
        <v>0.24075557423780855</v>
      </c>
    </row>
    <row r="1584" spans="1:6" x14ac:dyDescent="0.3">
      <c r="A1584" s="37">
        <v>16</v>
      </c>
      <c r="B1584" s="37">
        <v>83</v>
      </c>
      <c r="C1584" s="55">
        <v>14.3</v>
      </c>
      <c r="D1584" s="55">
        <v>10.72</v>
      </c>
      <c r="E1584" s="56">
        <f>(PI()*(Pinus[[#This Row],[d_cm]]^2))/40000</f>
        <v>1.6060607043314419E-2</v>
      </c>
      <c r="F1584" s="56">
        <f>Pinus[[#This Row],[gi_m²]]*Pinus[[#This Row],[h_m]]*0.45</f>
        <v>7.7476368376948768E-2</v>
      </c>
    </row>
    <row r="1585" spans="1:6" x14ac:dyDescent="0.3">
      <c r="A1585" s="37">
        <v>16</v>
      </c>
      <c r="B1585" s="37">
        <v>84</v>
      </c>
      <c r="C1585" s="55">
        <v>21.76</v>
      </c>
      <c r="D1585" s="55">
        <v>12.18</v>
      </c>
      <c r="E1585" s="56">
        <f>(PI()*(Pinus[[#This Row],[d_cm]]^2))/40000</f>
        <v>3.7188414541309972E-2</v>
      </c>
      <c r="F1585" s="56">
        <f>Pinus[[#This Row],[gi_m²]]*Pinus[[#This Row],[h_m]]*0.45</f>
        <v>0.20382970010091997</v>
      </c>
    </row>
    <row r="1586" spans="1:6" x14ac:dyDescent="0.3">
      <c r="A1586" s="37">
        <v>16</v>
      </c>
      <c r="B1586" s="37">
        <v>85</v>
      </c>
      <c r="C1586" s="55">
        <v>16.829999999999998</v>
      </c>
      <c r="D1586" s="55">
        <v>11.29</v>
      </c>
      <c r="E1586" s="56">
        <f>(PI()*(Pinus[[#This Row],[d_cm]]^2))/40000</f>
        <v>2.2246316584434742E-2</v>
      </c>
      <c r="F1586" s="56">
        <f>Pinus[[#This Row],[gi_m²]]*Pinus[[#This Row],[h_m]]*0.45</f>
        <v>0.11302241140722069</v>
      </c>
    </row>
    <row r="1587" spans="1:6" x14ac:dyDescent="0.3">
      <c r="A1587" s="37">
        <v>16</v>
      </c>
      <c r="B1587" s="37">
        <v>86</v>
      </c>
      <c r="C1587" s="55">
        <v>21.13</v>
      </c>
      <c r="D1587" s="55">
        <v>12.07</v>
      </c>
      <c r="E1587" s="56">
        <f>(PI()*(Pinus[[#This Row],[d_cm]]^2))/40000</f>
        <v>3.5066213725938614E-2</v>
      </c>
      <c r="F1587" s="56">
        <f>Pinus[[#This Row],[gi_m²]]*Pinus[[#This Row],[h_m]]*0.45</f>
        <v>0.1904621398524356</v>
      </c>
    </row>
    <row r="1588" spans="1:6" x14ac:dyDescent="0.3">
      <c r="A1588" s="37">
        <v>16</v>
      </c>
      <c r="B1588" s="37">
        <v>87</v>
      </c>
      <c r="C1588" s="55">
        <v>17.04</v>
      </c>
      <c r="D1588" s="55">
        <v>11.33</v>
      </c>
      <c r="E1588" s="56">
        <f>(PI()*(Pinus[[#This Row],[d_cm]]^2))/40000</f>
        <v>2.2804946736114447E-2</v>
      </c>
      <c r="F1588" s="56">
        <f>Pinus[[#This Row],[gi_m²]]*Pinus[[#This Row],[h_m]]*0.45</f>
        <v>0.11627102093407952</v>
      </c>
    </row>
    <row r="1589" spans="1:6" x14ac:dyDescent="0.3">
      <c r="A1589" s="37">
        <v>16</v>
      </c>
      <c r="B1589" s="37">
        <v>88</v>
      </c>
      <c r="C1589" s="55">
        <v>17.91</v>
      </c>
      <c r="D1589" s="55">
        <v>11.5</v>
      </c>
      <c r="E1589" s="56">
        <f>(PI()*(Pinus[[#This Row],[d_cm]]^2))/40000</f>
        <v>2.5193067661648902E-2</v>
      </c>
      <c r="F1589" s="56">
        <f>Pinus[[#This Row],[gi_m²]]*Pinus[[#This Row],[h_m]]*0.45</f>
        <v>0.13037412514903307</v>
      </c>
    </row>
    <row r="1590" spans="1:6" x14ac:dyDescent="0.3">
      <c r="A1590" s="37">
        <v>16</v>
      </c>
      <c r="B1590" s="37">
        <v>89</v>
      </c>
      <c r="C1590" s="55">
        <v>27.08</v>
      </c>
      <c r="D1590" s="55">
        <v>12.93</v>
      </c>
      <c r="E1590" s="56">
        <f>(PI()*(Pinus[[#This Row],[d_cm]]^2))/40000</f>
        <v>5.7595320773086246E-2</v>
      </c>
      <c r="F1590" s="56">
        <f>Pinus[[#This Row],[gi_m²]]*Pinus[[#This Row],[h_m]]*0.45</f>
        <v>0.33511837391820232</v>
      </c>
    </row>
    <row r="1591" spans="1:6" x14ac:dyDescent="0.3">
      <c r="A1591" s="37">
        <v>16</v>
      </c>
      <c r="B1591" s="37">
        <v>90</v>
      </c>
      <c r="C1591" s="55">
        <v>22.67</v>
      </c>
      <c r="D1591" s="55">
        <v>12.32</v>
      </c>
      <c r="E1591" s="56">
        <f>(PI()*(Pinus[[#This Row],[d_cm]]^2))/40000</f>
        <v>4.0363881417687091E-2</v>
      </c>
      <c r="F1591" s="56">
        <f>Pinus[[#This Row],[gi_m²]]*Pinus[[#This Row],[h_m]]*0.45</f>
        <v>0.22377735857965722</v>
      </c>
    </row>
    <row r="1592" spans="1:6" x14ac:dyDescent="0.3">
      <c r="A1592" s="37">
        <v>16</v>
      </c>
      <c r="B1592" s="37">
        <v>91</v>
      </c>
      <c r="C1592" s="55">
        <v>11.42</v>
      </c>
      <c r="D1592" s="55">
        <v>9.94</v>
      </c>
      <c r="E1592" s="56">
        <f>(PI()*(Pinus[[#This Row],[d_cm]]^2))/40000</f>
        <v>1.0242880103690698E-2</v>
      </c>
      <c r="F1592" s="56">
        <f>Pinus[[#This Row],[gi_m²]]*Pinus[[#This Row],[h_m]]*0.45</f>
        <v>4.581640270380849E-2</v>
      </c>
    </row>
    <row r="1593" spans="1:6" x14ac:dyDescent="0.3">
      <c r="A1593" s="37">
        <v>16</v>
      </c>
      <c r="B1593" s="37">
        <v>92</v>
      </c>
      <c r="C1593" s="55">
        <v>20.51</v>
      </c>
      <c r="D1593" s="55">
        <v>11.97</v>
      </c>
      <c r="E1593" s="56">
        <f>(PI()*(Pinus[[#This Row],[d_cm]]^2))/40000</f>
        <v>3.30385669954587E-2</v>
      </c>
      <c r="F1593" s="56">
        <f>Pinus[[#This Row],[gi_m²]]*Pinus[[#This Row],[h_m]]*0.45</f>
        <v>0.17796224112103831</v>
      </c>
    </row>
    <row r="1594" spans="1:6" x14ac:dyDescent="0.3">
      <c r="A1594" s="37">
        <v>16</v>
      </c>
      <c r="B1594" s="37">
        <v>93</v>
      </c>
      <c r="C1594" s="55">
        <v>18.190000000000001</v>
      </c>
      <c r="D1594" s="55">
        <v>11.56</v>
      </c>
      <c r="E1594" s="56">
        <f>(PI()*(Pinus[[#This Row],[d_cm]]^2))/40000</f>
        <v>2.5986948125211046E-2</v>
      </c>
      <c r="F1594" s="56">
        <f>Pinus[[#This Row],[gi_m²]]*Pinus[[#This Row],[h_m]]*0.45</f>
        <v>0.13518410414734788</v>
      </c>
    </row>
    <row r="1595" spans="1:6" x14ac:dyDescent="0.3">
      <c r="A1595" s="37">
        <v>16</v>
      </c>
      <c r="B1595" s="37">
        <v>94</v>
      </c>
      <c r="C1595" s="55">
        <v>15.45</v>
      </c>
      <c r="D1595" s="55">
        <v>10.99</v>
      </c>
      <c r="E1595" s="56">
        <f>(PI()*(Pinus[[#This Row],[d_cm]]^2))/40000</f>
        <v>1.874765050983794E-2</v>
      </c>
      <c r="F1595" s="56">
        <f>Pinus[[#This Row],[gi_m²]]*Pinus[[#This Row],[h_m]]*0.45</f>
        <v>9.2716505596403528E-2</v>
      </c>
    </row>
    <row r="1596" spans="1:6" x14ac:dyDescent="0.3">
      <c r="A1596" s="37">
        <v>16</v>
      </c>
      <c r="B1596" s="37">
        <v>95</v>
      </c>
      <c r="C1596" s="55">
        <v>20.84</v>
      </c>
      <c r="D1596" s="55">
        <v>12.03</v>
      </c>
      <c r="E1596" s="56">
        <f>(PI()*(Pinus[[#This Row],[d_cm]]^2))/40000</f>
        <v>3.4110282059322677E-2</v>
      </c>
      <c r="F1596" s="56">
        <f>Pinus[[#This Row],[gi_m²]]*Pinus[[#This Row],[h_m]]*0.45</f>
        <v>0.18465601192814332</v>
      </c>
    </row>
    <row r="1597" spans="1:6" x14ac:dyDescent="0.3">
      <c r="A1597" s="37">
        <v>16</v>
      </c>
      <c r="B1597" s="37">
        <v>96</v>
      </c>
      <c r="C1597" s="55">
        <v>20.52</v>
      </c>
      <c r="D1597" s="55">
        <v>11.97</v>
      </c>
      <c r="E1597" s="56">
        <f>(PI()*(Pinus[[#This Row],[d_cm]]^2))/40000</f>
        <v>3.3070791882102893E-2</v>
      </c>
      <c r="F1597" s="56">
        <f>Pinus[[#This Row],[gi_m²]]*Pinus[[#This Row],[h_m]]*0.45</f>
        <v>0.17813582047294724</v>
      </c>
    </row>
    <row r="1598" spans="1:6" x14ac:dyDescent="0.3">
      <c r="A1598" s="37">
        <v>16</v>
      </c>
      <c r="B1598" s="37">
        <v>97</v>
      </c>
      <c r="C1598" s="55">
        <v>18.690000000000001</v>
      </c>
      <c r="D1598" s="55">
        <v>11.65</v>
      </c>
      <c r="E1598" s="56">
        <f>(PI()*(Pinus[[#This Row],[d_cm]]^2))/40000</f>
        <v>2.7435222338515943E-2</v>
      </c>
      <c r="F1598" s="56">
        <f>Pinus[[#This Row],[gi_m²]]*Pinus[[#This Row],[h_m]]*0.45</f>
        <v>0.14382915310966982</v>
      </c>
    </row>
    <row r="1599" spans="1:6" x14ac:dyDescent="0.3">
      <c r="A1599" s="37">
        <v>16</v>
      </c>
      <c r="B1599" s="37">
        <v>98</v>
      </c>
      <c r="C1599" s="55">
        <v>27.89</v>
      </c>
      <c r="D1599" s="55">
        <v>13.04</v>
      </c>
      <c r="E1599" s="56">
        <f>(PI()*(Pinus[[#This Row],[d_cm]]^2))/40000</f>
        <v>6.1092361073484834E-2</v>
      </c>
      <c r="F1599" s="56">
        <f>Pinus[[#This Row],[gi_m²]]*Pinus[[#This Row],[h_m]]*0.45</f>
        <v>0.35848997477920896</v>
      </c>
    </row>
    <row r="1600" spans="1:6" x14ac:dyDescent="0.3">
      <c r="A1600" s="37">
        <v>16</v>
      </c>
      <c r="B1600" s="37">
        <v>99</v>
      </c>
      <c r="C1600" s="55">
        <v>11.01</v>
      </c>
      <c r="D1600" s="55">
        <v>9.81</v>
      </c>
      <c r="E1600" s="56">
        <f>(PI()*(Pinus[[#This Row],[d_cm]]^2))/40000</f>
        <v>9.5206043906855015E-3</v>
      </c>
      <c r="F1600" s="56">
        <f>Pinus[[#This Row],[gi_m²]]*Pinus[[#This Row],[h_m]]*0.45</f>
        <v>4.2028708082681152E-2</v>
      </c>
    </row>
    <row r="1601" spans="1:6" x14ac:dyDescent="0.3">
      <c r="A1601" s="37">
        <v>16</v>
      </c>
      <c r="B1601" s="37">
        <v>100</v>
      </c>
      <c r="C1601" s="55">
        <v>23.35</v>
      </c>
      <c r="D1601" s="55">
        <v>12.42</v>
      </c>
      <c r="E1601" s="56">
        <f>(PI()*(Pinus[[#This Row],[d_cm]]^2))/40000</f>
        <v>4.2821675014296526E-2</v>
      </c>
      <c r="F1601" s="56">
        <f>Pinus[[#This Row],[gi_m²]]*Pinus[[#This Row],[h_m]]*0.45</f>
        <v>0.23933034165490327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C574-2BB4-4761-B583-43024410D92E}">
  <sheetPr>
    <tabColor rgb="FF00B050"/>
  </sheetPr>
  <dimension ref="A2:D20"/>
  <sheetViews>
    <sheetView showGridLines="0" zoomScale="125" zoomScaleNormal="125" workbookViewId="0">
      <selection activeCell="D2" sqref="D2"/>
    </sheetView>
  </sheetViews>
  <sheetFormatPr defaultRowHeight="14" x14ac:dyDescent="0.3"/>
  <cols>
    <col min="1" max="1" width="17" style="36" bestFit="1" customWidth="1"/>
    <col min="2" max="2" width="18.36328125" style="36" bestFit="1" customWidth="1"/>
    <col min="3" max="4" width="13.36328125" style="36" bestFit="1" customWidth="1"/>
    <col min="5" max="16384" width="8.7265625" style="36"/>
  </cols>
  <sheetData>
    <row r="2" spans="1:4" ht="14.5" x14ac:dyDescent="0.35">
      <c r="B2"/>
    </row>
    <row r="3" spans="1:4" ht="14.5" x14ac:dyDescent="0.35">
      <c r="A3" s="65" t="s">
        <v>79</v>
      </c>
      <c r="B3" t="s">
        <v>81</v>
      </c>
      <c r="C3" t="s">
        <v>82</v>
      </c>
      <c r="D3" t="s">
        <v>83</v>
      </c>
    </row>
    <row r="4" spans="1:4" ht="14.5" x14ac:dyDescent="0.35">
      <c r="A4" s="66">
        <v>1</v>
      </c>
      <c r="B4" s="67">
        <v>100</v>
      </c>
      <c r="C4" s="68">
        <v>3.3599510930127763</v>
      </c>
      <c r="D4" s="68">
        <v>20.85018366491429</v>
      </c>
    </row>
    <row r="5" spans="1:4" ht="14.5" x14ac:dyDescent="0.35">
      <c r="A5" s="66">
        <v>2</v>
      </c>
      <c r="B5" s="67">
        <v>100</v>
      </c>
      <c r="C5" s="68">
        <v>3.1242373490900461</v>
      </c>
      <c r="D5" s="68">
        <v>19.469997627368215</v>
      </c>
    </row>
    <row r="6" spans="1:4" ht="14.5" x14ac:dyDescent="0.35">
      <c r="A6" s="66">
        <v>3</v>
      </c>
      <c r="B6" s="67">
        <v>100</v>
      </c>
      <c r="C6" s="68">
        <v>3.4070125750785594</v>
      </c>
      <c r="D6" s="68">
        <v>24.129718694902341</v>
      </c>
    </row>
    <row r="7" spans="1:4" ht="14.5" x14ac:dyDescent="0.35">
      <c r="A7" s="66">
        <v>4</v>
      </c>
      <c r="B7" s="67">
        <v>100</v>
      </c>
      <c r="C7" s="68">
        <v>3.2304782136306889</v>
      </c>
      <c r="D7" s="68">
        <v>24.340133358009368</v>
      </c>
    </row>
    <row r="8" spans="1:4" ht="14.5" x14ac:dyDescent="0.35">
      <c r="A8" s="66">
        <v>5</v>
      </c>
      <c r="B8" s="67">
        <v>100</v>
      </c>
      <c r="C8" s="68">
        <v>3.3979538083698966</v>
      </c>
      <c r="D8" s="68">
        <v>25.129963342738733</v>
      </c>
    </row>
    <row r="9" spans="1:4" ht="14.5" x14ac:dyDescent="0.35">
      <c r="A9" s="66">
        <v>6</v>
      </c>
      <c r="B9" s="67">
        <v>100</v>
      </c>
      <c r="C9" s="68">
        <v>3.1982378939125797</v>
      </c>
      <c r="D9" s="68">
        <v>22.369643442663659</v>
      </c>
    </row>
    <row r="10" spans="1:4" ht="14.5" x14ac:dyDescent="0.35">
      <c r="A10" s="66">
        <v>7</v>
      </c>
      <c r="B10" s="67">
        <v>100</v>
      </c>
      <c r="C10" s="68">
        <v>3.0878380319374794</v>
      </c>
      <c r="D10" s="68">
        <v>22.509798420658875</v>
      </c>
    </row>
    <row r="11" spans="1:4" ht="14.5" x14ac:dyDescent="0.35">
      <c r="A11" s="66">
        <v>8</v>
      </c>
      <c r="B11" s="67">
        <v>100</v>
      </c>
      <c r="C11" s="68">
        <v>3.4031143926662049</v>
      </c>
      <c r="D11" s="68">
        <v>19.78143295153377</v>
      </c>
    </row>
    <row r="12" spans="1:4" ht="14.5" x14ac:dyDescent="0.35">
      <c r="A12" s="66">
        <v>9</v>
      </c>
      <c r="B12" s="67">
        <v>100</v>
      </c>
      <c r="C12" s="68">
        <v>3.3980229312622563</v>
      </c>
      <c r="D12" s="68">
        <v>25.050177719813306</v>
      </c>
    </row>
    <row r="13" spans="1:4" ht="14.5" x14ac:dyDescent="0.35">
      <c r="A13" s="66">
        <v>10</v>
      </c>
      <c r="B13" s="67">
        <v>100</v>
      </c>
      <c r="C13" s="68">
        <v>3.2470034386655255</v>
      </c>
      <c r="D13" s="68">
        <v>28.839816805334817</v>
      </c>
    </row>
    <row r="14" spans="1:4" ht="14.5" x14ac:dyDescent="0.35">
      <c r="A14" s="66">
        <v>11</v>
      </c>
      <c r="B14" s="67">
        <v>100</v>
      </c>
      <c r="C14" s="68">
        <v>3.429457542420463</v>
      </c>
      <c r="D14" s="68">
        <v>23.700572788953707</v>
      </c>
    </row>
    <row r="15" spans="1:4" ht="14.5" x14ac:dyDescent="0.35">
      <c r="A15" s="66">
        <v>12</v>
      </c>
      <c r="B15" s="67">
        <v>100</v>
      </c>
      <c r="C15" s="68">
        <v>3.2414776992011074</v>
      </c>
      <c r="D15" s="68">
        <v>24.780753421951616</v>
      </c>
    </row>
    <row r="16" spans="1:4" ht="14.5" x14ac:dyDescent="0.35">
      <c r="A16" s="66">
        <v>13</v>
      </c>
      <c r="B16" s="67">
        <v>100</v>
      </c>
      <c r="C16" s="68">
        <v>3.2454657704332619</v>
      </c>
      <c r="D16" s="68">
        <v>22.579982868510434</v>
      </c>
    </row>
    <row r="17" spans="1:4" ht="14.5" x14ac:dyDescent="0.35">
      <c r="A17" s="66">
        <v>14</v>
      </c>
      <c r="B17" s="67">
        <v>100</v>
      </c>
      <c r="C17" s="68">
        <v>3.1943666506572321</v>
      </c>
      <c r="D17" s="68">
        <v>23.700823895362806</v>
      </c>
    </row>
    <row r="18" spans="1:4" ht="14.5" x14ac:dyDescent="0.35">
      <c r="A18" s="66">
        <v>15</v>
      </c>
      <c r="B18" s="67">
        <v>100</v>
      </c>
      <c r="C18" s="68">
        <v>3.3804269650572807</v>
      </c>
      <c r="D18" s="68">
        <v>36.158819545183249</v>
      </c>
    </row>
    <row r="19" spans="1:4" ht="14.5" x14ac:dyDescent="0.35">
      <c r="A19" s="66">
        <v>16</v>
      </c>
      <c r="B19" s="67">
        <v>100</v>
      </c>
      <c r="C19" s="68">
        <v>3.2850056749297649</v>
      </c>
      <c r="D19" s="68">
        <v>17.831499043785545</v>
      </c>
    </row>
    <row r="20" spans="1:4" ht="14.5" x14ac:dyDescent="0.35">
      <c r="A20" s="66" t="s">
        <v>80</v>
      </c>
      <c r="B20" s="67">
        <v>1600</v>
      </c>
      <c r="C20" s="68">
        <v>52.630050030325215</v>
      </c>
      <c r="D20" s="68">
        <v>381.22331759168543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F3328-197A-4740-B8A9-79F5E917409C}">
  <sheetPr>
    <tabColor rgb="FFFF0000"/>
  </sheetPr>
  <dimension ref="A1:Q33"/>
  <sheetViews>
    <sheetView showGridLines="0" topLeftCell="A10" zoomScale="118" zoomScaleNormal="118" workbookViewId="0">
      <selection activeCell="J25" sqref="J25"/>
    </sheetView>
  </sheetViews>
  <sheetFormatPr defaultRowHeight="14" x14ac:dyDescent="0.3"/>
  <cols>
    <col min="1" max="1" width="26.36328125" style="36" customWidth="1"/>
    <col min="2" max="16384" width="8.7265625" style="36"/>
  </cols>
  <sheetData>
    <row r="1" spans="1:17" s="47" customFormat="1" x14ac:dyDescent="0.3">
      <c r="A1" s="69" t="s">
        <v>84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</row>
    <row r="3" spans="1:17" x14ac:dyDescent="0.3">
      <c r="A3" s="48" t="s">
        <v>55</v>
      </c>
      <c r="D3" s="47" t="s">
        <v>15</v>
      </c>
      <c r="L3" s="47" t="s">
        <v>75</v>
      </c>
    </row>
    <row r="5" spans="1:17" x14ac:dyDescent="0.3">
      <c r="D5" s="47" t="s">
        <v>58</v>
      </c>
    </row>
    <row r="10" spans="1:17" x14ac:dyDescent="0.3">
      <c r="A10" s="47" t="s">
        <v>54</v>
      </c>
    </row>
    <row r="11" spans="1:17" x14ac:dyDescent="0.3">
      <c r="D11" s="47" t="s">
        <v>59</v>
      </c>
      <c r="L11" s="47" t="s">
        <v>12</v>
      </c>
    </row>
    <row r="16" spans="1:17" x14ac:dyDescent="0.3">
      <c r="A16" s="47" t="s">
        <v>56</v>
      </c>
      <c r="L16" s="47" t="s">
        <v>76</v>
      </c>
    </row>
    <row r="17" spans="1:12" x14ac:dyDescent="0.3">
      <c r="D17" s="47" t="s">
        <v>73</v>
      </c>
    </row>
    <row r="23" spans="1:12" x14ac:dyDescent="0.3">
      <c r="D23" s="47" t="s">
        <v>74</v>
      </c>
    </row>
    <row r="24" spans="1:12" x14ac:dyDescent="0.3">
      <c r="A24" s="47" t="s">
        <v>57</v>
      </c>
    </row>
    <row r="26" spans="1:12" x14ac:dyDescent="0.3">
      <c r="L26" s="47" t="s">
        <v>77</v>
      </c>
    </row>
    <row r="33" spans="12:12" x14ac:dyDescent="0.3">
      <c r="L33" s="47" t="s">
        <v>78</v>
      </c>
    </row>
  </sheetData>
  <mergeCells count="1">
    <mergeCell ref="A1:Q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1B31C-7076-41F9-B8C4-C5993A21A031}">
  <sheetPr>
    <tabColor rgb="FFFFC000"/>
  </sheetPr>
  <dimension ref="B1:R48"/>
  <sheetViews>
    <sheetView showGridLines="0" tabSelected="1" topLeftCell="D15" zoomScale="150" zoomScaleNormal="150" workbookViewId="0">
      <selection activeCell="K18" sqref="K18"/>
    </sheetView>
  </sheetViews>
  <sheetFormatPr defaultColWidth="9.1796875" defaultRowHeight="14" x14ac:dyDescent="0.35"/>
  <cols>
    <col min="1" max="1" width="4.36328125" style="3" customWidth="1"/>
    <col min="2" max="2" width="10.90625" style="3" customWidth="1"/>
    <col min="3" max="3" width="31.36328125" style="3" customWidth="1"/>
    <col min="4" max="4" width="30.6328125" style="3" customWidth="1"/>
    <col min="5" max="5" width="12.26953125" style="3" bestFit="1" customWidth="1"/>
    <col min="6" max="6" width="30.1796875" style="3" customWidth="1"/>
    <col min="7" max="7" width="41.1796875" style="3" bestFit="1" customWidth="1"/>
    <col min="8" max="8" width="12.81640625" style="3" customWidth="1"/>
    <col min="9" max="9" width="9.1796875" style="3"/>
    <col min="10" max="10" width="41.26953125" style="3" bestFit="1" customWidth="1"/>
    <col min="11" max="11" width="16.7265625" style="3" customWidth="1"/>
    <col min="12" max="12" width="19.54296875" style="3" bestFit="1" customWidth="1"/>
    <col min="13" max="13" width="16.26953125" style="3" customWidth="1"/>
    <col min="14" max="14" width="14.36328125" style="3" bestFit="1" customWidth="1"/>
    <col min="15" max="15" width="9.1796875" style="3"/>
    <col min="16" max="16" width="28.81640625" style="3" customWidth="1"/>
    <col min="17" max="17" width="11.26953125" style="3" bestFit="1" customWidth="1"/>
    <col min="18" max="16384" width="9.1796875" style="3"/>
  </cols>
  <sheetData>
    <row r="1" spans="2:14" x14ac:dyDescent="0.35">
      <c r="B1" s="22" t="s">
        <v>19</v>
      </c>
      <c r="C1" s="23" t="s">
        <v>35</v>
      </c>
      <c r="D1" s="24"/>
    </row>
    <row r="2" spans="2:14" x14ac:dyDescent="0.35">
      <c r="B2" s="25" t="s">
        <v>20</v>
      </c>
      <c r="C2" s="26" t="s">
        <v>21</v>
      </c>
      <c r="D2" s="27"/>
      <c r="F2" s="4"/>
      <c r="G2" s="3" t="s">
        <v>29</v>
      </c>
      <c r="L2" s="31"/>
    </row>
    <row r="3" spans="2:14" ht="13.5" customHeight="1" x14ac:dyDescent="0.35">
      <c r="B3" s="25" t="s">
        <v>30</v>
      </c>
      <c r="C3" s="57" t="s">
        <v>85</v>
      </c>
      <c r="D3" s="58"/>
      <c r="F3" s="5"/>
      <c r="G3" s="3" t="s">
        <v>28</v>
      </c>
    </row>
    <row r="4" spans="2:14" ht="14.5" thickBot="1" x14ac:dyDescent="0.4">
      <c r="B4" s="28" t="s">
        <v>31</v>
      </c>
      <c r="C4" s="29" t="s">
        <v>32</v>
      </c>
      <c r="D4" s="30"/>
    </row>
    <row r="5" spans="2:14" ht="14.5" thickBot="1" x14ac:dyDescent="0.4">
      <c r="B5" s="2"/>
      <c r="K5" s="6"/>
    </row>
    <row r="6" spans="2:14" x14ac:dyDescent="0.35">
      <c r="B6" s="62" t="s">
        <v>33</v>
      </c>
      <c r="C6" s="63"/>
      <c r="D6" s="64"/>
      <c r="F6" s="62" t="s">
        <v>34</v>
      </c>
      <c r="G6" s="63"/>
      <c r="H6" s="64"/>
      <c r="J6" s="62" t="s">
        <v>51</v>
      </c>
      <c r="K6" s="63"/>
      <c r="L6" s="63"/>
      <c r="M6" s="63"/>
      <c r="N6" s="64"/>
    </row>
    <row r="7" spans="2:14" x14ac:dyDescent="0.35">
      <c r="B7" s="33"/>
      <c r="C7" s="34"/>
      <c r="D7" s="35"/>
      <c r="F7" s="33"/>
      <c r="G7" s="34"/>
      <c r="H7" s="35"/>
      <c r="J7" s="33"/>
      <c r="K7" s="34"/>
      <c r="L7" s="34"/>
      <c r="M7" s="34"/>
      <c r="N7" s="35"/>
    </row>
    <row r="8" spans="2:14" x14ac:dyDescent="0.35">
      <c r="B8" s="39" t="s">
        <v>0</v>
      </c>
      <c r="C8" s="40" t="s">
        <v>50</v>
      </c>
      <c r="D8" s="41" t="s">
        <v>25</v>
      </c>
      <c r="F8" s="12" t="s">
        <v>5</v>
      </c>
      <c r="G8" s="10" t="s">
        <v>4</v>
      </c>
      <c r="H8" s="11" t="s">
        <v>3</v>
      </c>
      <c r="J8" s="18" t="s">
        <v>1</v>
      </c>
      <c r="K8" s="10" t="s">
        <v>2</v>
      </c>
      <c r="L8" s="10" t="s">
        <v>50</v>
      </c>
      <c r="M8" s="10" t="s">
        <v>2</v>
      </c>
      <c r="N8" s="11" t="s">
        <v>25</v>
      </c>
    </row>
    <row r="9" spans="2:14" x14ac:dyDescent="0.35">
      <c r="B9" s="42">
        <v>1</v>
      </c>
      <c r="C9" s="49">
        <v>20.85018366491429</v>
      </c>
      <c r="D9" s="51">
        <f>C9*$G$12</f>
        <v>347.50306108190489</v>
      </c>
      <c r="E9" s="32"/>
      <c r="F9" s="13" t="s">
        <v>87</v>
      </c>
      <c r="G9" s="49">
        <v>40</v>
      </c>
      <c r="H9" s="14" t="s">
        <v>6</v>
      </c>
      <c r="J9" s="13" t="s">
        <v>64</v>
      </c>
      <c r="K9" s="51">
        <f>AVERAGE(C9:C48)</f>
        <v>23.826457349480293</v>
      </c>
      <c r="L9" s="1" t="s">
        <v>52</v>
      </c>
      <c r="M9" s="51">
        <f>AVERAGE(D9:D48)</f>
        <v>397.1076224913383</v>
      </c>
      <c r="N9" s="14" t="s">
        <v>26</v>
      </c>
    </row>
    <row r="10" spans="2:14" x14ac:dyDescent="0.35">
      <c r="B10" s="42">
        <v>2</v>
      </c>
      <c r="C10" s="49">
        <v>19.469997627368215</v>
      </c>
      <c r="D10" s="51">
        <f t="shared" ref="D10:D25" si="0">C10*$G$12</f>
        <v>324.49996045613693</v>
      </c>
      <c r="E10" s="32"/>
      <c r="F10" s="15" t="s">
        <v>86</v>
      </c>
      <c r="G10" s="49">
        <v>0.06</v>
      </c>
      <c r="H10" s="14" t="s">
        <v>6</v>
      </c>
      <c r="J10" s="13" t="s">
        <v>72</v>
      </c>
      <c r="K10" s="51">
        <f>_xlfn.VAR.S(C9:C48)</f>
        <v>17.817598792932525</v>
      </c>
      <c r="L10" s="1" t="s">
        <v>53</v>
      </c>
      <c r="M10" s="51">
        <f>_xlfn.VAR.S(D9:D48)</f>
        <v>4949.332998036748</v>
      </c>
      <c r="N10" s="14" t="s">
        <v>27</v>
      </c>
    </row>
    <row r="11" spans="2:14" x14ac:dyDescent="0.35">
      <c r="B11" s="42">
        <v>3</v>
      </c>
      <c r="C11" s="49">
        <v>24.129718694902341</v>
      </c>
      <c r="D11" s="51">
        <f t="shared" si="0"/>
        <v>402.16197824837235</v>
      </c>
      <c r="E11" s="32"/>
      <c r="F11" s="13" t="s">
        <v>88</v>
      </c>
      <c r="G11" s="70">
        <v>16</v>
      </c>
      <c r="H11" s="14" t="s">
        <v>18</v>
      </c>
      <c r="J11" s="13" t="s">
        <v>71</v>
      </c>
      <c r="K11" s="51">
        <f>_xlfn.STDEV.S(C9:C48)</f>
        <v>4.2210897636667859</v>
      </c>
      <c r="L11" s="1" t="s">
        <v>52</v>
      </c>
      <c r="M11" s="51">
        <f>_xlfn.STDEV.S(D9:D48)</f>
        <v>70.351496061112641</v>
      </c>
      <c r="N11" s="14" t="s">
        <v>26</v>
      </c>
    </row>
    <row r="12" spans="2:14" x14ac:dyDescent="0.35">
      <c r="B12" s="42">
        <v>4</v>
      </c>
      <c r="C12" s="49">
        <v>24.340133358009368</v>
      </c>
      <c r="D12" s="51">
        <f t="shared" si="0"/>
        <v>405.66888930015614</v>
      </c>
      <c r="E12" s="32"/>
      <c r="F12" s="13" t="s">
        <v>63</v>
      </c>
      <c r="G12" s="51">
        <f>1/G10</f>
        <v>16.666666666666668</v>
      </c>
      <c r="H12" s="14" t="s">
        <v>24</v>
      </c>
      <c r="J12" s="13" t="s">
        <v>70</v>
      </c>
      <c r="K12" s="51">
        <f>(K11/K9)*100</f>
        <v>17.715977250637543</v>
      </c>
      <c r="L12" s="1" t="s">
        <v>22</v>
      </c>
      <c r="M12" s="51">
        <f>(M11/M9)*100</f>
        <v>17.715977250637422</v>
      </c>
      <c r="N12" s="14" t="s">
        <v>22</v>
      </c>
    </row>
    <row r="13" spans="2:14" x14ac:dyDescent="0.35">
      <c r="B13" s="42">
        <v>5</v>
      </c>
      <c r="C13" s="49">
        <v>25.129963342738733</v>
      </c>
      <c r="D13" s="51">
        <f t="shared" si="0"/>
        <v>418.83272237897893</v>
      </c>
      <c r="E13" s="32"/>
      <c r="F13" s="16" t="s">
        <v>60</v>
      </c>
      <c r="G13" s="49">
        <v>0.05</v>
      </c>
      <c r="H13" s="14" t="s">
        <v>24</v>
      </c>
      <c r="J13" s="13" t="s">
        <v>69</v>
      </c>
      <c r="K13" s="52">
        <f>G9/G10</f>
        <v>666.66666666666674</v>
      </c>
      <c r="L13" s="1" t="s">
        <v>18</v>
      </c>
      <c r="M13" s="52">
        <f>G9/G10</f>
        <v>666.66666666666674</v>
      </c>
      <c r="N13" s="14" t="s">
        <v>18</v>
      </c>
    </row>
    <row r="14" spans="2:14" x14ac:dyDescent="0.35">
      <c r="B14" s="42">
        <v>6</v>
      </c>
      <c r="C14" s="49">
        <v>22.369643442663659</v>
      </c>
      <c r="D14" s="51">
        <f t="shared" si="0"/>
        <v>372.82739071106101</v>
      </c>
      <c r="E14" s="32"/>
      <c r="F14" s="16" t="s">
        <v>61</v>
      </c>
      <c r="G14" s="52">
        <f>G11-1</f>
        <v>15</v>
      </c>
      <c r="H14" s="14" t="s">
        <v>24</v>
      </c>
      <c r="J14" s="13" t="s">
        <v>68</v>
      </c>
      <c r="K14" s="50">
        <f>G11/K13</f>
        <v>2.3999999999999997E-2</v>
      </c>
      <c r="L14" s="1" t="s">
        <v>24</v>
      </c>
      <c r="M14" s="50">
        <f>G11/M13</f>
        <v>2.3999999999999997E-2</v>
      </c>
      <c r="N14" s="14" t="s">
        <v>24</v>
      </c>
    </row>
    <row r="15" spans="2:14" ht="14.5" thickBot="1" x14ac:dyDescent="0.4">
      <c r="B15" s="42">
        <v>7</v>
      </c>
      <c r="C15" s="49">
        <v>22.509798420658875</v>
      </c>
      <c r="D15" s="51">
        <f t="shared" si="0"/>
        <v>375.16330701098127</v>
      </c>
      <c r="E15" s="32"/>
      <c r="F15" s="17" t="s">
        <v>62</v>
      </c>
      <c r="G15" s="53">
        <v>0.1</v>
      </c>
      <c r="H15" s="46" t="s">
        <v>24</v>
      </c>
      <c r="J15" s="13" t="s">
        <v>65</v>
      </c>
      <c r="K15" s="52" t="str">
        <f>IF(K14&gt;0.02,"População Finita","População Infinita")</f>
        <v>População Finita</v>
      </c>
      <c r="L15" s="1" t="s">
        <v>24</v>
      </c>
      <c r="M15" s="52" t="str">
        <f>IF(M14&gt;0.02,"População Finita","População Infinita")</f>
        <v>População Finita</v>
      </c>
      <c r="N15" s="14" t="s">
        <v>24</v>
      </c>
    </row>
    <row r="16" spans="2:14" x14ac:dyDescent="0.35">
      <c r="B16" s="42">
        <v>8</v>
      </c>
      <c r="C16" s="49">
        <v>19.78143295153377</v>
      </c>
      <c r="D16" s="51">
        <f t="shared" si="0"/>
        <v>329.69054919222953</v>
      </c>
      <c r="E16" s="32"/>
      <c r="F16" s="8"/>
      <c r="G16" s="8"/>
      <c r="H16" s="8"/>
      <c r="I16" s="8"/>
      <c r="J16" s="13" t="s">
        <v>67</v>
      </c>
      <c r="K16" s="51">
        <f>G15*K9</f>
        <v>2.3826457349480292</v>
      </c>
      <c r="L16" s="1" t="s">
        <v>52</v>
      </c>
      <c r="M16" s="51">
        <f>G15*M9</f>
        <v>39.710762249133836</v>
      </c>
      <c r="N16" s="14" t="s">
        <v>26</v>
      </c>
    </row>
    <row r="17" spans="2:18" ht="14.5" thickBot="1" x14ac:dyDescent="0.4">
      <c r="B17" s="42">
        <v>9</v>
      </c>
      <c r="C17" s="49">
        <v>25.050177719813306</v>
      </c>
      <c r="D17" s="51">
        <f t="shared" si="0"/>
        <v>417.50296199688847</v>
      </c>
      <c r="E17" s="32"/>
      <c r="J17" s="13" t="s">
        <v>16</v>
      </c>
      <c r="K17" s="50">
        <f>TINV(G13,G14)</f>
        <v>2.1314495455597742</v>
      </c>
      <c r="L17" s="1" t="s">
        <v>24</v>
      </c>
      <c r="M17" s="50">
        <f>TINV(G13,G14)</f>
        <v>2.1314495455597742</v>
      </c>
      <c r="N17" s="14" t="s">
        <v>24</v>
      </c>
    </row>
    <row r="18" spans="2:18" x14ac:dyDescent="0.35">
      <c r="B18" s="42">
        <v>10</v>
      </c>
      <c r="C18" s="49">
        <v>28.839816805334817</v>
      </c>
      <c r="D18" s="51">
        <f t="shared" si="0"/>
        <v>480.66361342224695</v>
      </c>
      <c r="E18" s="32"/>
      <c r="F18" s="62" t="s">
        <v>36</v>
      </c>
      <c r="G18" s="63"/>
      <c r="H18" s="64"/>
      <c r="J18" s="13" t="s">
        <v>66</v>
      </c>
      <c r="K18" s="51">
        <f>IF($K$15="População Finita",($K$13*(K17^2)*$K$10)/(($K$13*($K$16^2))+((K17^2)*$K$10)),((K17^2)*$K$10)/$K$16^2)</f>
        <v>13.96013314337303</v>
      </c>
      <c r="L18" s="1" t="s">
        <v>18</v>
      </c>
      <c r="M18" s="51">
        <f>IF(M15="População Finita",(M13*(M17^2)*M10)/((M13*(M16^2))+((M17^2)*M10)),((M17^2)*M10)/M16^2)</f>
        <v>13.960133143372842</v>
      </c>
      <c r="N18" s="14" t="s">
        <v>18</v>
      </c>
    </row>
    <row r="19" spans="2:18" x14ac:dyDescent="0.35">
      <c r="B19" s="42">
        <v>11</v>
      </c>
      <c r="C19" s="49">
        <v>23.700572788953707</v>
      </c>
      <c r="D19" s="51">
        <f t="shared" si="0"/>
        <v>395.0095464825618</v>
      </c>
      <c r="E19" s="32"/>
      <c r="F19" s="12" t="s">
        <v>5</v>
      </c>
      <c r="G19" s="10" t="s">
        <v>4</v>
      </c>
      <c r="H19" s="11" t="s">
        <v>3</v>
      </c>
      <c r="J19" s="13" t="s">
        <v>7</v>
      </c>
      <c r="K19" s="50">
        <f>(K11/SQRT(G11))*SQRT(1-K14)</f>
        <v>1.0425322663442527</v>
      </c>
      <c r="L19" s="1" t="s">
        <v>52</v>
      </c>
      <c r="M19" s="50">
        <f>(M11/SQRT(G11))*SQRT(1-M14)</f>
        <v>17.375537772404098</v>
      </c>
      <c r="N19" s="14" t="s">
        <v>26</v>
      </c>
      <c r="O19" s="8"/>
      <c r="P19" s="9"/>
      <c r="R19" s="8"/>
    </row>
    <row r="20" spans="2:18" x14ac:dyDescent="0.35">
      <c r="B20" s="42">
        <v>12</v>
      </c>
      <c r="C20" s="49">
        <v>24.780753421951616</v>
      </c>
      <c r="D20" s="51">
        <f t="shared" si="0"/>
        <v>413.01255703252696</v>
      </c>
      <c r="E20" s="32"/>
      <c r="F20" s="59" t="s">
        <v>42</v>
      </c>
      <c r="G20" s="60"/>
      <c r="H20" s="61"/>
      <c r="J20" s="13" t="s">
        <v>8</v>
      </c>
      <c r="K20" s="51">
        <f>K17*K19</f>
        <v>2.2221049253308589</v>
      </c>
      <c r="L20" s="1" t="s">
        <v>52</v>
      </c>
      <c r="M20" s="51">
        <f>M17*M19</f>
        <v>37.035082088847403</v>
      </c>
      <c r="N20" s="19" t="s">
        <v>26</v>
      </c>
    </row>
    <row r="21" spans="2:18" x14ac:dyDescent="0.35">
      <c r="B21" s="42">
        <v>13</v>
      </c>
      <c r="C21" s="49">
        <v>22.579982868510434</v>
      </c>
      <c r="D21" s="51">
        <f t="shared" si="0"/>
        <v>376.33304780850727</v>
      </c>
      <c r="E21" s="32"/>
      <c r="F21" s="16" t="s">
        <v>40</v>
      </c>
      <c r="G21" s="51">
        <f>K18</f>
        <v>13.96013314337303</v>
      </c>
      <c r="H21" s="14" t="s">
        <v>18</v>
      </c>
      <c r="J21" s="13" t="s">
        <v>9</v>
      </c>
      <c r="K21" s="51">
        <f>(K20/K9)*100</f>
        <v>9.326207806463211</v>
      </c>
      <c r="L21" s="7" t="s">
        <v>22</v>
      </c>
      <c r="M21" s="51">
        <f>(M20/M9)*100</f>
        <v>9.3262078064631488</v>
      </c>
      <c r="N21" s="19" t="s">
        <v>22</v>
      </c>
    </row>
    <row r="22" spans="2:18" x14ac:dyDescent="0.35">
      <c r="B22" s="42">
        <v>14</v>
      </c>
      <c r="C22" s="49">
        <v>23.700823895362806</v>
      </c>
      <c r="D22" s="51">
        <f t="shared" si="0"/>
        <v>395.01373158938014</v>
      </c>
      <c r="E22" s="32"/>
      <c r="F22" s="16" t="s">
        <v>37</v>
      </c>
      <c r="G22" s="52">
        <f>ROUND(G21-1,0)</f>
        <v>13</v>
      </c>
      <c r="H22" s="14" t="s">
        <v>24</v>
      </c>
      <c r="J22" s="13" t="s">
        <v>10</v>
      </c>
      <c r="K22" s="51">
        <f>K9-K20</f>
        <v>21.604352424149432</v>
      </c>
      <c r="L22" s="1" t="s">
        <v>52</v>
      </c>
      <c r="M22" s="51">
        <f>M9-M20</f>
        <v>360.07254040249092</v>
      </c>
      <c r="N22" s="19" t="s">
        <v>26</v>
      </c>
    </row>
    <row r="23" spans="2:18" x14ac:dyDescent="0.35">
      <c r="B23" s="42">
        <v>15</v>
      </c>
      <c r="C23" s="49">
        <v>36.158819545183249</v>
      </c>
      <c r="D23" s="51">
        <f t="shared" si="0"/>
        <v>602.64699241972085</v>
      </c>
      <c r="E23" s="32"/>
      <c r="F23" s="16" t="s">
        <v>17</v>
      </c>
      <c r="G23" s="49">
        <v>0.05</v>
      </c>
      <c r="H23" s="14" t="s">
        <v>24</v>
      </c>
      <c r="J23" s="13" t="s">
        <v>11</v>
      </c>
      <c r="K23" s="51">
        <f>K9+K20</f>
        <v>26.048562274811154</v>
      </c>
      <c r="L23" s="1" t="s">
        <v>52</v>
      </c>
      <c r="M23" s="51">
        <f>M9+M20</f>
        <v>434.14270458018569</v>
      </c>
      <c r="N23" s="19" t="s">
        <v>26</v>
      </c>
      <c r="P23" s="8"/>
    </row>
    <row r="24" spans="2:18" x14ac:dyDescent="0.35">
      <c r="B24" s="42">
        <v>16</v>
      </c>
      <c r="C24" s="49">
        <v>17.831499043785545</v>
      </c>
      <c r="D24" s="51">
        <f t="shared" si="0"/>
        <v>297.19165072975909</v>
      </c>
      <c r="E24" s="32"/>
      <c r="F24" s="13" t="s">
        <v>38</v>
      </c>
      <c r="G24" s="45">
        <f>TINV(G23,G22)</f>
        <v>2.1603686564627926</v>
      </c>
      <c r="H24" s="14" t="s">
        <v>24</v>
      </c>
      <c r="J24" s="13" t="s">
        <v>89</v>
      </c>
      <c r="K24" s="51">
        <f>K13*K9</f>
        <v>15884.304899653531</v>
      </c>
      <c r="L24" s="7" t="s">
        <v>23</v>
      </c>
      <c r="M24" s="51">
        <f>G9*M9</f>
        <v>15884.304899653533</v>
      </c>
      <c r="N24" s="19" t="s">
        <v>23</v>
      </c>
      <c r="P24" s="8"/>
    </row>
    <row r="25" spans="2:18" x14ac:dyDescent="0.35">
      <c r="B25" s="42">
        <v>17</v>
      </c>
      <c r="C25" s="49"/>
      <c r="D25" s="51"/>
      <c r="F25" s="16" t="s">
        <v>44</v>
      </c>
      <c r="G25" s="51">
        <f>IF($K$15="População Finita",($K$13*(G24^2)*$K$10)/(($K$13*($K$16^2))+((G24^2)*$K$10)),((G24^2)*$K$10)/$K$16^2)</f>
        <v>14.333320171775648</v>
      </c>
      <c r="H25" s="14" t="s">
        <v>18</v>
      </c>
      <c r="J25" s="13" t="s">
        <v>13</v>
      </c>
      <c r="K25" s="51">
        <f>K24-(K13*K20)</f>
        <v>14402.901616099625</v>
      </c>
      <c r="L25" s="7" t="s">
        <v>23</v>
      </c>
      <c r="M25" s="51">
        <f>M24-(G9*M20)</f>
        <v>14402.901616099636</v>
      </c>
      <c r="N25" s="19" t="s">
        <v>23</v>
      </c>
      <c r="P25" s="8"/>
    </row>
    <row r="26" spans="2:18" ht="14.5" thickBot="1" x14ac:dyDescent="0.4">
      <c r="B26" s="42">
        <v>18</v>
      </c>
      <c r="C26" s="49"/>
      <c r="D26" s="51"/>
      <c r="F26" s="16" t="s">
        <v>41</v>
      </c>
      <c r="G26" s="44"/>
      <c r="H26" s="14" t="s">
        <v>24</v>
      </c>
      <c r="J26" s="17" t="s">
        <v>14</v>
      </c>
      <c r="K26" s="51">
        <f>K24+(K13*K20)</f>
        <v>17365.708183207436</v>
      </c>
      <c r="L26" s="20" t="s">
        <v>23</v>
      </c>
      <c r="M26" s="51">
        <f>M24+(G9*M20)</f>
        <v>17365.708183207429</v>
      </c>
      <c r="N26" s="21" t="s">
        <v>23</v>
      </c>
    </row>
    <row r="27" spans="2:18" x14ac:dyDescent="0.35">
      <c r="B27" s="42">
        <v>19</v>
      </c>
      <c r="C27" s="49"/>
      <c r="D27" s="51"/>
      <c r="F27" s="59" t="s">
        <v>43</v>
      </c>
      <c r="G27" s="60"/>
      <c r="H27" s="61"/>
      <c r="K27" s="9"/>
      <c r="L27" s="9"/>
      <c r="M27" s="9"/>
      <c r="N27" s="9"/>
    </row>
    <row r="28" spans="2:18" x14ac:dyDescent="0.35">
      <c r="B28" s="42">
        <v>20</v>
      </c>
      <c r="C28" s="49"/>
      <c r="D28" s="51"/>
      <c r="F28" s="16" t="s">
        <v>37</v>
      </c>
      <c r="G28" s="44"/>
      <c r="H28" s="14" t="s">
        <v>24</v>
      </c>
    </row>
    <row r="29" spans="2:18" x14ac:dyDescent="0.35">
      <c r="B29" s="42">
        <v>21</v>
      </c>
      <c r="C29" s="49"/>
      <c r="D29" s="51"/>
      <c r="F29" s="16" t="s">
        <v>17</v>
      </c>
      <c r="G29" s="38"/>
      <c r="H29" s="14" t="s">
        <v>24</v>
      </c>
    </row>
    <row r="30" spans="2:18" x14ac:dyDescent="0.35">
      <c r="B30" s="42">
        <v>22</v>
      </c>
      <c r="C30" s="49"/>
      <c r="D30" s="51"/>
      <c r="F30" s="13" t="s">
        <v>38</v>
      </c>
      <c r="G30" s="45"/>
      <c r="H30" s="14" t="s">
        <v>24</v>
      </c>
    </row>
    <row r="31" spans="2:18" x14ac:dyDescent="0.35">
      <c r="B31" s="42">
        <v>23</v>
      </c>
      <c r="C31" s="49"/>
      <c r="D31" s="51"/>
      <c r="F31" s="16" t="s">
        <v>39</v>
      </c>
      <c r="G31" s="45"/>
      <c r="H31" s="14" t="s">
        <v>18</v>
      </c>
    </row>
    <row r="32" spans="2:18" x14ac:dyDescent="0.35">
      <c r="B32" s="42">
        <v>24</v>
      </c>
      <c r="C32" s="49"/>
      <c r="D32" s="51"/>
      <c r="F32" s="16" t="s">
        <v>41</v>
      </c>
      <c r="G32" s="44"/>
      <c r="H32" s="14" t="s">
        <v>24</v>
      </c>
    </row>
    <row r="33" spans="2:4" x14ac:dyDescent="0.35">
      <c r="B33" s="42">
        <v>25</v>
      </c>
      <c r="C33" s="49"/>
      <c r="D33" s="51"/>
    </row>
    <row r="34" spans="2:4" x14ac:dyDescent="0.35">
      <c r="B34" s="42">
        <v>26</v>
      </c>
      <c r="C34" s="49"/>
      <c r="D34" s="51"/>
    </row>
    <row r="35" spans="2:4" x14ac:dyDescent="0.35">
      <c r="B35" s="42">
        <v>27</v>
      </c>
      <c r="C35" s="49"/>
      <c r="D35" s="51"/>
    </row>
    <row r="36" spans="2:4" x14ac:dyDescent="0.35">
      <c r="B36" s="42">
        <v>28</v>
      </c>
      <c r="C36" s="49"/>
      <c r="D36" s="51"/>
    </row>
    <row r="37" spans="2:4" x14ac:dyDescent="0.35">
      <c r="B37" s="42">
        <v>29</v>
      </c>
      <c r="C37" s="49"/>
      <c r="D37" s="51"/>
    </row>
    <row r="38" spans="2:4" x14ac:dyDescent="0.35">
      <c r="B38" s="42">
        <v>30</v>
      </c>
      <c r="C38" s="49"/>
      <c r="D38" s="51"/>
    </row>
    <row r="39" spans="2:4" x14ac:dyDescent="0.35">
      <c r="B39" s="42">
        <v>31</v>
      </c>
      <c r="C39" s="49"/>
      <c r="D39" s="51"/>
    </row>
    <row r="40" spans="2:4" x14ac:dyDescent="0.35">
      <c r="B40" s="42">
        <v>32</v>
      </c>
      <c r="C40" s="49"/>
      <c r="D40" s="51"/>
    </row>
    <row r="41" spans="2:4" x14ac:dyDescent="0.35">
      <c r="B41" s="42">
        <v>33</v>
      </c>
      <c r="C41" s="49"/>
      <c r="D41" s="51"/>
    </row>
    <row r="42" spans="2:4" x14ac:dyDescent="0.35">
      <c r="B42" s="42">
        <v>34</v>
      </c>
      <c r="C42" s="49"/>
      <c r="D42" s="51"/>
    </row>
    <row r="43" spans="2:4" x14ac:dyDescent="0.35">
      <c r="B43" s="42">
        <v>35</v>
      </c>
      <c r="C43" s="49"/>
      <c r="D43" s="51"/>
    </row>
    <row r="44" spans="2:4" x14ac:dyDescent="0.35">
      <c r="B44" s="42">
        <v>36</v>
      </c>
      <c r="C44" s="49"/>
      <c r="D44" s="51"/>
    </row>
    <row r="45" spans="2:4" x14ac:dyDescent="0.35">
      <c r="B45" s="42">
        <v>37</v>
      </c>
      <c r="C45" s="49"/>
      <c r="D45" s="51"/>
    </row>
    <row r="46" spans="2:4" x14ac:dyDescent="0.35">
      <c r="B46" s="42">
        <v>38</v>
      </c>
      <c r="C46" s="49"/>
      <c r="D46" s="51"/>
    </row>
    <row r="47" spans="2:4" x14ac:dyDescent="0.35">
      <c r="B47" s="42">
        <v>39</v>
      </c>
      <c r="C47" s="49"/>
      <c r="D47" s="51"/>
    </row>
    <row r="48" spans="2:4" ht="14.5" thickBot="1" x14ac:dyDescent="0.4">
      <c r="B48" s="43">
        <v>40</v>
      </c>
      <c r="C48" s="49"/>
      <c r="D48" s="51"/>
    </row>
  </sheetData>
  <mergeCells count="7">
    <mergeCell ref="C3:D3"/>
    <mergeCell ref="F27:H27"/>
    <mergeCell ref="B6:D6"/>
    <mergeCell ref="J6:N6"/>
    <mergeCell ref="F6:H6"/>
    <mergeCell ref="F18:H18"/>
    <mergeCell ref="F20:H2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Dados-Campo-Simulado</vt:lpstr>
      <vt:lpstr>Volume_Por_Parcela</vt:lpstr>
      <vt:lpstr>Formulas</vt:lpstr>
      <vt:lpstr>AAS-Sanquetta-et-al-2023</vt:lpstr>
    </vt:vector>
  </TitlesOfParts>
  <Company>Universidade Federal do Pará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Análise Semiautomática Amostragem Aleatória Simples</dc:title>
  <dc:creator>Prof. Deivison Venicio Souza - UFPA</dc:creator>
  <cp:lastModifiedBy>Revisor</cp:lastModifiedBy>
  <dcterms:created xsi:type="dcterms:W3CDTF">2013-05-18T18:17:14Z</dcterms:created>
  <dcterms:modified xsi:type="dcterms:W3CDTF">2026-05-13T21:08:14Z</dcterms:modified>
</cp:coreProperties>
</file>