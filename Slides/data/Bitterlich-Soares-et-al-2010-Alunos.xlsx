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cd5d8700b5386d/GitHub/FL03039-Inventario-Florestal/Slides/data/"/>
    </mc:Choice>
  </mc:AlternateContent>
  <xr:revisionPtr revIDLastSave="235" documentId="13_ncr:1_{FEB3C7B9-D2AA-4D1F-86F1-53642FC286FB}" xr6:coauthVersionLast="47" xr6:coauthVersionMax="47" xr10:uidLastSave="{B4FE777F-420E-4425-B32E-717D8BED055A}"/>
  <bookViews>
    <workbookView xWindow="-110" yWindow="-110" windowWidth="25820" windowHeight="13900" xr2:uid="{3B2AB8B8-5136-4B86-B46E-9285716F707E}"/>
  </bookViews>
  <sheets>
    <sheet name="Bitterli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N38" i="1"/>
  <c r="N39" i="1"/>
  <c r="N40" i="1"/>
  <c r="N41" i="1"/>
  <c r="N42" i="1"/>
  <c r="L37" i="1"/>
  <c r="L38" i="1"/>
  <c r="L39" i="1"/>
  <c r="L40" i="1"/>
  <c r="L41" i="1"/>
  <c r="L4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2" i="1"/>
  <c r="G29" i="1"/>
  <c r="G30" i="1"/>
  <c r="G31" i="1"/>
  <c r="G32" i="1"/>
  <c r="G33" i="1"/>
  <c r="G34" i="1"/>
  <c r="K40" i="1"/>
  <c r="K41" i="1"/>
  <c r="K39" i="1"/>
  <c r="K38" i="1"/>
  <c r="K37" i="1"/>
  <c r="E3" i="1"/>
  <c r="G3" i="1" s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E30" i="1"/>
  <c r="E31" i="1"/>
  <c r="E32" i="1"/>
  <c r="E33" i="1"/>
  <c r="E34" i="1"/>
  <c r="E35" i="1"/>
  <c r="G35" i="1" s="1"/>
  <c r="E36" i="1"/>
  <c r="G36" i="1" s="1"/>
  <c r="E37" i="1"/>
  <c r="G37" i="1" s="1"/>
  <c r="E38" i="1"/>
  <c r="G38" i="1" s="1"/>
  <c r="E2" i="1"/>
  <c r="G2" i="1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M40" i="1" l="1"/>
  <c r="M37" i="1"/>
  <c r="M39" i="1"/>
  <c r="M41" i="1"/>
  <c r="M38" i="1"/>
</calcChain>
</file>

<file path=xl/sharedStrings.xml><?xml version="1.0" encoding="utf-8"?>
<sst xmlns="http://schemas.openxmlformats.org/spreadsheetml/2006/main" count="29" uniqueCount="29">
  <si>
    <t>d (cm)</t>
  </si>
  <si>
    <t>Árvore</t>
  </si>
  <si>
    <t>Ponto</t>
  </si>
  <si>
    <t>Ht (m)</t>
  </si>
  <si>
    <t>Pede-se:</t>
  </si>
  <si>
    <t>a) Calcular o volume individual em cada ponto amostral</t>
  </si>
  <si>
    <t>b) Calcular as áreas transversais das árvores em cada ponto amostral</t>
  </si>
  <si>
    <r>
      <t>c) Calcular a área basal por hectare (m².ha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 para cada ponto amostral</t>
    </r>
  </si>
  <si>
    <r>
      <t>d) Calcular o número de árvores por hectare (árvore.ha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 para cada ponto amostral</t>
    </r>
  </si>
  <si>
    <r>
      <t>e) Calcular o volume por hectare (m³.ha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 para cada ponto amostral</t>
    </r>
  </si>
  <si>
    <t>Fórmulas:</t>
  </si>
  <si>
    <r>
      <t>Número de árvores por hectare (árvore.ha</t>
    </r>
    <r>
      <rPr>
        <b/>
        <vertAlign val="superscript"/>
        <sz val="12"/>
        <color theme="1"/>
        <rFont val="Times New Roman"/>
        <family val="1"/>
      </rPr>
      <t>-1</t>
    </r>
    <r>
      <rPr>
        <b/>
        <sz val="12"/>
        <color theme="1"/>
        <rFont val="Times New Roman"/>
        <family val="1"/>
      </rPr>
      <t>)</t>
    </r>
  </si>
  <si>
    <r>
      <t>Área Basal por Hectare (m².ha</t>
    </r>
    <r>
      <rPr>
        <b/>
        <vertAlign val="superscript"/>
        <sz val="12"/>
        <color theme="1"/>
        <rFont val="Times New Roman"/>
        <family val="1"/>
      </rPr>
      <t>-1</t>
    </r>
    <r>
      <rPr>
        <b/>
        <sz val="12"/>
        <color theme="1"/>
        <rFont val="Times New Roman"/>
        <family val="1"/>
      </rPr>
      <t>)</t>
    </r>
  </si>
  <si>
    <r>
      <t>Volume por hectare (m³.ha</t>
    </r>
    <r>
      <rPr>
        <b/>
        <vertAlign val="superscript"/>
        <sz val="12"/>
        <color theme="1"/>
        <rFont val="Times New Roman"/>
        <family val="1"/>
      </rPr>
      <t>-1</t>
    </r>
    <r>
      <rPr>
        <b/>
        <sz val="12"/>
        <color theme="1"/>
        <rFont val="Times New Roman"/>
        <family val="1"/>
      </rPr>
      <t>)</t>
    </r>
  </si>
  <si>
    <t>Média</t>
  </si>
  <si>
    <t>Tabela Suporte</t>
  </si>
  <si>
    <t>Unidade Amostra</t>
  </si>
  <si>
    <t>vi (m³)</t>
  </si>
  <si>
    <t>β0</t>
  </si>
  <si>
    <t>β1</t>
  </si>
  <si>
    <t>β2</t>
  </si>
  <si>
    <t>gi (m²)</t>
  </si>
  <si>
    <t>m</t>
  </si>
  <si>
    <r>
      <t>G (m².ha</t>
    </r>
    <r>
      <rPr>
        <b/>
        <vertAlign val="superscript"/>
        <sz val="12"/>
        <color theme="1"/>
        <rFont val="Times New Roman"/>
        <family val="1"/>
      </rPr>
      <t>-1</t>
    </r>
    <r>
      <rPr>
        <b/>
        <sz val="12"/>
        <color theme="1"/>
        <rFont val="Times New Roman"/>
        <family val="1"/>
      </rPr>
      <t>)</t>
    </r>
  </si>
  <si>
    <t>FAB =</t>
  </si>
  <si>
    <t>1/gi</t>
  </si>
  <si>
    <r>
      <t>N (árv.ha</t>
    </r>
    <r>
      <rPr>
        <b/>
        <vertAlign val="superscript"/>
        <sz val="12"/>
        <color theme="1"/>
        <rFont val="Times New Roman"/>
        <family val="1"/>
      </rPr>
      <t>-1</t>
    </r>
    <r>
      <rPr>
        <b/>
        <sz val="12"/>
        <color theme="1"/>
        <rFont val="Times New Roman"/>
        <family val="1"/>
      </rPr>
      <t>)</t>
    </r>
  </si>
  <si>
    <r>
      <t>V (m³.ha</t>
    </r>
    <r>
      <rPr>
        <b/>
        <vertAlign val="superscript"/>
        <sz val="12"/>
        <color theme="1"/>
        <rFont val="Times New Roman"/>
        <family val="1"/>
      </rPr>
      <t>-1</t>
    </r>
    <r>
      <rPr>
        <b/>
        <sz val="12"/>
        <color theme="1"/>
        <rFont val="Times New Roman"/>
        <family val="1"/>
      </rPr>
      <t>)</t>
    </r>
  </si>
  <si>
    <t>(FAB/gi)*vi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</si>
</sst>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000"/>
  </numFmts>
  <fonts count="7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sz val="11"/>
      <color theme="1"/>
      <name val="Aptos Narrow"/>
      <family val="2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66" fontId="1" fillId="0" borderId="9" xfId="0" applyNumberFormat="1" applyFont="1" applyBorder="1" applyAlignment="1">
      <alignment horizontal="center" vertical="center" wrapText="1"/>
    </xf>
    <xf numFmtId="166" fontId="1" fillId="0" borderId="7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.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.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.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6" formatCode="0.00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.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.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5761</xdr:colOff>
      <xdr:row>3</xdr:row>
      <xdr:rowOff>2880</xdr:rowOff>
    </xdr:from>
    <xdr:to>
      <xdr:col>20</xdr:col>
      <xdr:colOff>614182</xdr:colOff>
      <xdr:row>6</xdr:row>
      <xdr:rowOff>170027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2C7EADC1-7F55-A068-1FC3-5EEC854D547B}"/>
            </a:ext>
          </a:extLst>
        </xdr:cNvPr>
        <xdr:cNvSpPr/>
      </xdr:nvSpPr>
      <xdr:spPr>
        <a:xfrm>
          <a:off x="4752646" y="617060"/>
          <a:ext cx="7912656" cy="76050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Seja uma floresta de 11 ha, na qual se realizou um inventário-piloto, através da amostragem por ponto horizontal (Bitterlich), sendo lançados cinco pontos de amostragem e utilizando um fator de área basal (FAB) igual a 1. O volume de cada árvore individual foi obtido pela equação fornecida pelo CETEC (1995):</a:t>
          </a:r>
          <a:r>
            <a:rPr lang="pt-BR" sz="1200" b="0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Vest. = 0,00007423.d</a:t>
          </a:r>
          <a:r>
            <a:rPr lang="pt-BR" sz="1200" b="0" i="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1,707348</a:t>
          </a:r>
          <a:r>
            <a:rPr lang="pt-BR" sz="1200" b="0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.Ht</a:t>
          </a:r>
          <a:r>
            <a:rPr lang="pt-BR" sz="1200" b="0" i="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1,16873 </a:t>
          </a:r>
          <a:r>
            <a:rPr lang="pt-BR" sz="1200" b="0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(R² = 97,30%)</a:t>
          </a:r>
        </a:p>
      </xdr:txBody>
    </xdr:sp>
    <xdr:clientData/>
  </xdr:twoCellAnchor>
  <xdr:oneCellAnchor>
    <xdr:from>
      <xdr:col>9</xdr:col>
      <xdr:colOff>0</xdr:colOff>
      <xdr:row>15</xdr:row>
      <xdr:rowOff>361950</xdr:rowOff>
    </xdr:from>
    <xdr:ext cx="1441450" cy="313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6627B1AB-8FCB-4435-ACA3-3DC561B5A628}"/>
                </a:ext>
              </a:extLst>
            </xdr:cNvPr>
            <xdr:cNvSpPr txBox="1"/>
          </xdr:nvSpPr>
          <xdr:spPr>
            <a:xfrm>
              <a:off x="3016250" y="3314700"/>
              <a:ext cx="1441450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20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t-BR" sz="20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𝐺</m:t>
                    </m:r>
                    <m:r>
                      <a:rPr lang="pt-BR" sz="20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pt-BR" sz="20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</m:t>
                    </m:r>
                    <m:r>
                      <a:rPr lang="pt-BR" sz="20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pt-BR" sz="20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𝐹𝐴𝐵</m:t>
                    </m:r>
                  </m:oMath>
                </m:oMathPara>
              </a14:m>
              <a:endParaRPr lang="pt-BR" sz="20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6627B1AB-8FCB-4435-ACA3-3DC561B5A628}"/>
                </a:ext>
              </a:extLst>
            </xdr:cNvPr>
            <xdr:cNvSpPr txBox="1"/>
          </xdr:nvSpPr>
          <xdr:spPr>
            <a:xfrm>
              <a:off x="3016250" y="3314700"/>
              <a:ext cx="1441450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20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𝐺</a:t>
              </a:r>
              <a:r>
                <a:rPr lang="pt-BR" sz="20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𝑚.𝐹𝐴𝐵</a:t>
              </a:r>
              <a:endParaRPr lang="pt-BR" sz="2000"/>
            </a:p>
          </xdr:txBody>
        </xdr:sp>
      </mc:Fallback>
    </mc:AlternateContent>
    <xdr:clientData/>
  </xdr:oneCellAnchor>
  <xdr:oneCellAnchor>
    <xdr:from>
      <xdr:col>9</xdr:col>
      <xdr:colOff>0</xdr:colOff>
      <xdr:row>19</xdr:row>
      <xdr:rowOff>154053</xdr:rowOff>
    </xdr:from>
    <xdr:ext cx="3263465" cy="84029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559EA52A-4E34-4FE2-B1D5-0173101C786E}"/>
                </a:ext>
              </a:extLst>
            </xdr:cNvPr>
            <xdr:cNvSpPr txBox="1"/>
          </xdr:nvSpPr>
          <xdr:spPr>
            <a:xfrm>
              <a:off x="3704138" y="4072786"/>
              <a:ext cx="3263465" cy="8402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20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t-BR" sz="20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𝑁</m:t>
                    </m:r>
                    <m:r>
                      <a:rPr lang="pt-BR" sz="20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nary>
                      <m:naryPr>
                        <m:chr m:val="∑"/>
                        <m:ctrlP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=1</m:t>
                        </m:r>
                      </m:sub>
                      <m:sup>
                        <m: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sup>
                      <m:e>
                        <m:sSub>
                          <m:sSubPr>
                            <m:ctrlP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𝑁</m:t>
                            </m:r>
                          </m:e>
                          <m:sub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𝐹𝐴𝐵</m:t>
                        </m:r>
                      </m:e>
                    </m:nary>
                    <m:nary>
                      <m:naryPr>
                        <m:chr m:val="∑"/>
                        <m:ctrlP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=1</m:t>
                        </m:r>
                      </m:sub>
                      <m:sup>
                        <m: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sup>
                      <m:e>
                        <m:d>
                          <m:dPr>
                            <m:ctrlP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𝑔</m:t>
                                    </m:r>
                                  </m:e>
                                  <m:sub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</m:nary>
                  </m:oMath>
                </m:oMathPara>
              </a14:m>
              <a:endParaRPr lang="pt-BR" sz="2000"/>
            </a:p>
          </xdr:txBody>
        </xdr:sp>
      </mc:Choice>
      <mc:Fallback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559EA52A-4E34-4FE2-B1D5-0173101C786E}"/>
                </a:ext>
              </a:extLst>
            </xdr:cNvPr>
            <xdr:cNvSpPr txBox="1"/>
          </xdr:nvSpPr>
          <xdr:spPr>
            <a:xfrm>
              <a:off x="3704138" y="4072786"/>
              <a:ext cx="3263465" cy="8402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20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𝑁= ∑_(𝑖=1)^𝑚▒〖𝑁_𝑖=𝐹𝐴𝐵〗 ∑_(𝑖=1)^𝑚▒(1/𝑔_𝑖 ) </a:t>
              </a:r>
              <a:endParaRPr lang="pt-BR" sz="2000"/>
            </a:p>
          </xdr:txBody>
        </xdr:sp>
      </mc:Fallback>
    </mc:AlternateContent>
    <xdr:clientData/>
  </xdr:oneCellAnchor>
  <xdr:oneCellAnchor>
    <xdr:from>
      <xdr:col>9</xdr:col>
      <xdr:colOff>0</xdr:colOff>
      <xdr:row>27</xdr:row>
      <xdr:rowOff>143179</xdr:rowOff>
    </xdr:from>
    <xdr:ext cx="3828955" cy="84029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41586608-65A2-4186-B94C-3EAAEFEC99FC}"/>
                </a:ext>
              </a:extLst>
            </xdr:cNvPr>
            <xdr:cNvSpPr txBox="1"/>
          </xdr:nvSpPr>
          <xdr:spPr>
            <a:xfrm>
              <a:off x="3362891" y="5627665"/>
              <a:ext cx="3828955" cy="8402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20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t-BR" sz="20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  <m:r>
                      <a:rPr lang="pt-BR" sz="20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nary>
                      <m:naryPr>
                        <m:chr m:val="∑"/>
                        <m:ctrlP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=1</m:t>
                        </m:r>
                      </m:sub>
                      <m:sup>
                        <m: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sup>
                      <m:e>
                        <m:sSub>
                          <m:sSubPr>
                            <m:ctrlP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</m:e>
                          <m:sub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 </m:t>
                        </m:r>
                        <m:nary>
                          <m:naryPr>
                            <m:chr m:val="∑"/>
                            <m:ctrlP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=1</m:t>
                            </m:r>
                          </m:sub>
                          <m:sup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</m:t>
                            </m:r>
                          </m:sup>
                          <m:e>
                            <m:f>
                              <m:fPr>
                                <m:ctrlP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𝐹𝐴𝐵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𝑔</m:t>
                                    </m:r>
                                  </m:e>
                                  <m:sub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</m:den>
                            </m:f>
                          </m:e>
                        </m:nary>
                      </m:e>
                    </m:nary>
                    <m:r>
                      <a:rPr lang="pt-BR" sz="20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sSub>
                      <m:sSubPr>
                        <m:ctrlP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</m:e>
                      <m:sub>
                        <m: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pt-BR" sz="2000"/>
            </a:p>
          </xdr:txBody>
        </xdr:sp>
      </mc:Choice>
      <mc:Fallback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41586608-65A2-4186-B94C-3EAAEFEC99FC}"/>
                </a:ext>
              </a:extLst>
            </xdr:cNvPr>
            <xdr:cNvSpPr txBox="1"/>
          </xdr:nvSpPr>
          <xdr:spPr>
            <a:xfrm>
              <a:off x="3362891" y="5627665"/>
              <a:ext cx="3828955" cy="8402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20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𝑉= ∑_(𝑖=1)^𝑚▒〖𝑉_𝑖= ∑_(𝑖=1)^𝑚▒𝐹𝐴𝐵/𝑔_𝑖 〗.𝑣_𝑖</a:t>
              </a:r>
              <a:endParaRPr lang="pt-BR" sz="2000"/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FEA631-F8D7-4F78-B89C-85241BA305F9}" name="Tabela1" displayName="Tabela1" ref="A1:H38" totalsRowShown="0" headerRowDxfId="10" dataDxfId="19" headerRowBorderDxfId="17" tableBorderDxfId="18" totalsRowBorderDxfId="16">
  <autoFilter ref="A1:H38" xr:uid="{B3FEA631-F8D7-4F78-B89C-85241BA305F9}"/>
  <tableColumns count="8">
    <tableColumn id="1" xr3:uid="{E3613D79-5B5F-4313-91AC-810567F60D8F}" name="Ponto" dataDxfId="15"/>
    <tableColumn id="2" xr3:uid="{136F5277-00AB-4508-82E8-16D9C07EF2C1}" name="Árvore" dataDxfId="14"/>
    <tableColumn id="3" xr3:uid="{4EB25418-A154-4F02-894C-B97408284556}" name="d (cm)" dataDxfId="13"/>
    <tableColumn id="4" xr3:uid="{5AE7A31E-3E5A-4190-B7C5-46C854B678B7}" name="Ht (m)" dataDxfId="12"/>
    <tableColumn id="9" xr3:uid="{CD9AA97E-8F10-489E-BD47-E5A4414C52F5}" name="gi (m²)" dataDxfId="9">
      <calculatedColumnFormula>(PI()*(Tabela1[[#This Row],[d (cm)]]^2))/40000</calculatedColumnFormula>
    </tableColumn>
    <tableColumn id="5" xr3:uid="{DB7FBD44-F561-4548-800E-0422F5347671}" name="vi (m³)" dataDxfId="11">
      <calculatedColumnFormula>$K$1*(Tabela1[[#This Row],[d (cm)]]^$K$2)*(Tabela1[[#This Row],[Ht (m)]]^$K$3)</calculatedColumnFormula>
    </tableColumn>
    <tableColumn id="10" xr3:uid="{B40E8A96-26DE-4F30-821E-D98B7D565669}" name="1/gi" dataDxfId="8">
      <calculatedColumnFormula>1/Tabela1[[#This Row],[gi (m²)]]</calculatedColumnFormula>
    </tableColumn>
    <tableColumn id="11" xr3:uid="{4A1A7C6A-B7EF-4640-B33A-9A98F50C7FE0}" name="(FAB/gi)*vi" dataDxfId="7">
      <calculatedColumnFormula>($K$43/Tabela1[[#This Row],[gi (m²)]])*Tabela1[[#This Row],[vi (m³)]]</calculatedColumnFormula>
    </tableColumn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325A81-6EF0-44DC-8F00-46804B129919}" name="Tabela2" displayName="Tabela2" ref="J36:N42" totalsRowShown="0" headerRowDxfId="2" dataDxfId="3">
  <autoFilter ref="J36:N42" xr:uid="{AB325A81-6EF0-44DC-8F00-46804B129919}"/>
  <tableColumns count="5">
    <tableColumn id="1" xr3:uid="{C7330DE7-0C5F-415C-9ADB-BB0B3ECA7C6B}" name="Unidade Amostra" dataDxfId="6"/>
    <tableColumn id="2" xr3:uid="{0CDFA6CD-B43D-43CA-8E87-E236589FC97F}" name="m" dataDxfId="5">
      <calculatedColumnFormula>COUNTIF(Tabela1[Ponto],J37)</calculatedColumnFormula>
    </tableColumn>
    <tableColumn id="3" xr3:uid="{F234511D-2F87-44A1-A75A-E359CF80B2EC}" name="G (m².ha-1)" dataDxfId="1">
      <calculatedColumnFormula>K37*$K$43</calculatedColumnFormula>
    </tableColumn>
    <tableColumn id="4" xr3:uid="{DDFA7F4F-EF35-4C5C-A3EB-436DE9C2E604}" name="N (árv.ha-1)" dataDxfId="4">
      <calculatedColumnFormula>SUMIF(Tabela1[Ponto],J37,Tabela1[1/gi])*$K$43</calculatedColumnFormula>
    </tableColumn>
    <tableColumn id="5" xr3:uid="{A6FB67C4-08CA-455C-93B7-2FAB12857101}" name="V (m³.ha-1)" dataDxfId="0">
      <calculatedColumnFormula>SUMIF(Tabela1[Ponto],J37,Tabela1[(FAB/gi)*vi])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5D73-7E86-4845-95AA-3943C596FDA3}">
  <dimension ref="A1:U224"/>
  <sheetViews>
    <sheetView showGridLines="0" tabSelected="1" zoomScale="183" zoomScaleNormal="183" workbookViewId="0">
      <selection activeCell="I1" sqref="I1"/>
    </sheetView>
  </sheetViews>
  <sheetFormatPr defaultColWidth="8.90625" defaultRowHeight="15.5" x14ac:dyDescent="0.35"/>
  <cols>
    <col min="1" max="1" width="10.81640625" style="1" customWidth="1"/>
    <col min="2" max="2" width="12.26953125" style="1" customWidth="1"/>
    <col min="3" max="3" width="11.90625" style="1" customWidth="1"/>
    <col min="4" max="7" width="12" style="1" customWidth="1"/>
    <col min="8" max="8" width="14.81640625" style="1" customWidth="1"/>
    <col min="9" max="9" width="12" style="1" customWidth="1"/>
    <col min="10" max="10" width="18" style="1" customWidth="1"/>
    <col min="11" max="11" width="12.1796875" style="1" customWidth="1"/>
    <col min="12" max="12" width="11.7265625" style="1" customWidth="1"/>
    <col min="13" max="13" width="14.54296875" style="1" customWidth="1"/>
    <col min="14" max="14" width="11.81640625" style="1" customWidth="1"/>
    <col min="15" max="16384" width="8.90625" style="1"/>
  </cols>
  <sheetData>
    <row r="1" spans="1:21" x14ac:dyDescent="0.35">
      <c r="A1" s="9" t="s">
        <v>2</v>
      </c>
      <c r="B1" s="10" t="s">
        <v>1</v>
      </c>
      <c r="C1" s="10" t="s">
        <v>0</v>
      </c>
      <c r="D1" s="10" t="s">
        <v>3</v>
      </c>
      <c r="E1" s="10" t="s">
        <v>21</v>
      </c>
      <c r="F1" s="22" t="s">
        <v>17</v>
      </c>
      <c r="G1" s="10" t="s">
        <v>25</v>
      </c>
      <c r="H1" s="10" t="s">
        <v>28</v>
      </c>
      <c r="I1" s="18"/>
      <c r="J1" s="20" t="s">
        <v>18</v>
      </c>
      <c r="K1" s="21">
        <v>7.4229999999999999E-5</v>
      </c>
    </row>
    <row r="2" spans="1:21" x14ac:dyDescent="0.35">
      <c r="A2" s="8">
        <v>1</v>
      </c>
      <c r="B2" s="4">
        <v>1</v>
      </c>
      <c r="C2" s="5">
        <v>19.899999999999999</v>
      </c>
      <c r="D2" s="5">
        <v>6</v>
      </c>
      <c r="E2" s="25">
        <f>(PI()*(Tabela1[[#This Row],[d (cm)]]^2))/40000</f>
        <v>3.1102552668702346E-2</v>
      </c>
      <c r="F2" s="23">
        <f>$K$1*(Tabela1[[#This Row],[d (cm)]]^$K$2)*(Tabela1[[#This Row],[Ht (m)]]^$K$3)</f>
        <v>9.9454027194796651E-2</v>
      </c>
      <c r="G2" s="27">
        <f>1/Tabela1[[#This Row],[gi (m²)]]</f>
        <v>32.151701844275721</v>
      </c>
      <c r="H2" s="28">
        <f>($K$43/Tabela1[[#This Row],[gi (m²)]])*Tabela1[[#This Row],[vi (m³)]]</f>
        <v>3.1976162295795914</v>
      </c>
      <c r="I2" s="19"/>
      <c r="J2" s="20" t="s">
        <v>19</v>
      </c>
      <c r="K2" s="21">
        <v>1.7073480000000001</v>
      </c>
      <c r="L2" s="14"/>
    </row>
    <row r="3" spans="1:21" x14ac:dyDescent="0.35">
      <c r="A3" s="8">
        <v>1</v>
      </c>
      <c r="B3" s="4">
        <v>2</v>
      </c>
      <c r="C3" s="5">
        <v>17.600000000000001</v>
      </c>
      <c r="D3" s="5">
        <v>12</v>
      </c>
      <c r="E3" s="25">
        <f>(PI()*(Tabela1[[#This Row],[d (cm)]]^2))/40000</f>
        <v>2.4328493509399363E-2</v>
      </c>
      <c r="F3" s="23">
        <f>$K$1*(Tabela1[[#This Row],[d (cm)]]^$K$2)*(Tabela1[[#This Row],[Ht (m)]]^$K$3)</f>
        <v>0.18129028036876832</v>
      </c>
      <c r="G3" s="27">
        <f>1/Tabela1[[#This Row],[gi (m²)]]</f>
        <v>41.104065881171309</v>
      </c>
      <c r="H3" s="28">
        <f>($K$43/Tabela1[[#This Row],[gi (m²)]])*Tabela1[[#This Row],[vi (m³)]]</f>
        <v>7.4517676278938705</v>
      </c>
      <c r="I3" s="19"/>
      <c r="J3" s="20" t="s">
        <v>20</v>
      </c>
      <c r="K3" s="21">
        <v>1.16873</v>
      </c>
    </row>
    <row r="4" spans="1:21" x14ac:dyDescent="0.35">
      <c r="A4" s="8">
        <v>1</v>
      </c>
      <c r="B4" s="4">
        <v>3</v>
      </c>
      <c r="C4" s="5">
        <v>7.5</v>
      </c>
      <c r="D4" s="5">
        <v>3</v>
      </c>
      <c r="E4" s="25">
        <f>(PI()*(Tabela1[[#This Row],[d (cm)]]^2))/40000</f>
        <v>4.4178646691106467E-3</v>
      </c>
      <c r="F4" s="23">
        <f>$K$1*(Tabela1[[#This Row],[d (cm)]]^$K$2)*(Tabela1[[#This Row],[Ht (m)]]^$K$3)</f>
        <v>8.3606392091574513E-3</v>
      </c>
      <c r="G4" s="27">
        <f>1/Tabela1[[#This Row],[gi (m²)]]</f>
        <v>226.35369684180671</v>
      </c>
      <c r="H4" s="28">
        <f>($K$43/Tabela1[[#This Row],[gi (m²)]])*Tabela1[[#This Row],[vi (m³)]]</f>
        <v>1.8924615929533484</v>
      </c>
      <c r="I4" s="19"/>
    </row>
    <row r="5" spans="1:21" x14ac:dyDescent="0.35">
      <c r="A5" s="8">
        <v>1</v>
      </c>
      <c r="B5" s="4">
        <v>4</v>
      </c>
      <c r="C5" s="5">
        <v>13.1</v>
      </c>
      <c r="D5" s="5">
        <v>10</v>
      </c>
      <c r="E5" s="25">
        <f>(PI()*(Tabela1[[#This Row],[d (cm)]]^2))/40000</f>
        <v>1.3478217882063609E-2</v>
      </c>
      <c r="F5" s="23">
        <f>$K$1*(Tabela1[[#This Row],[d (cm)]]^$K$2)*(Tabela1[[#This Row],[Ht (m)]]^$K$3)</f>
        <v>8.8487183640195713E-2</v>
      </c>
      <c r="G5" s="27">
        <f>1/Tabela1[[#This Row],[gi (m²)]]</f>
        <v>74.193785020404576</v>
      </c>
      <c r="H5" s="28">
        <f>($K$43/Tabela1[[#This Row],[gi (m²)]])*Tabela1[[#This Row],[vi (m³)]]</f>
        <v>6.5651990800617419</v>
      </c>
      <c r="I5" s="19"/>
    </row>
    <row r="6" spans="1:21" x14ac:dyDescent="0.35">
      <c r="A6" s="8">
        <v>1</v>
      </c>
      <c r="B6" s="4">
        <v>5</v>
      </c>
      <c r="C6" s="5">
        <v>21.4</v>
      </c>
      <c r="D6" s="5">
        <v>15.8</v>
      </c>
      <c r="E6" s="25">
        <f>(PI()*(Tabela1[[#This Row],[d (cm)]]^2))/40000</f>
        <v>3.5968094290949534E-2</v>
      </c>
      <c r="F6" s="23">
        <f>$K$1*(Tabela1[[#This Row],[d (cm)]]^$K$2)*(Tabela1[[#This Row],[Ht (m)]]^$K$3)</f>
        <v>0.34911238251499055</v>
      </c>
      <c r="G6" s="27">
        <f>1/Tabela1[[#This Row],[gi (m²)]]</f>
        <v>27.802418218516092</v>
      </c>
      <c r="H6" s="28">
        <f>($K$43/Tabela1[[#This Row],[gi (m²)]])*Tabela1[[#This Row],[vi (m³)]]</f>
        <v>9.7061684639443317</v>
      </c>
      <c r="I6" s="19"/>
    </row>
    <row r="7" spans="1:21" x14ac:dyDescent="0.35">
      <c r="A7" s="8">
        <v>1</v>
      </c>
      <c r="B7" s="4">
        <v>6</v>
      </c>
      <c r="C7" s="5">
        <v>40.799999999999997</v>
      </c>
      <c r="D7" s="5">
        <v>15</v>
      </c>
      <c r="E7" s="25">
        <f>(PI()*(Tabela1[[#This Row],[d (cm)]]^2))/40000</f>
        <v>0.13074051987179283</v>
      </c>
      <c r="F7" s="23">
        <f>$K$1*(Tabela1[[#This Row],[d (cm)]]^$K$2)*(Tabela1[[#This Row],[Ht (m)]]^$K$3)</f>
        <v>0.98871245681834774</v>
      </c>
      <c r="G7" s="27">
        <f>1/Tabela1[[#This Row],[gi (m²)]]</f>
        <v>7.6487381339818983</v>
      </c>
      <c r="H7" s="28">
        <f>($K$43/Tabela1[[#This Row],[gi (m²)]])*Tabela1[[#This Row],[vi (m³)]]</f>
        <v>7.5624026720094273</v>
      </c>
      <c r="I7" s="19"/>
    </row>
    <row r="8" spans="1:21" x14ac:dyDescent="0.35">
      <c r="A8" s="8">
        <v>2</v>
      </c>
      <c r="B8" s="4">
        <v>1</v>
      </c>
      <c r="C8" s="5">
        <v>6.7</v>
      </c>
      <c r="D8" s="5">
        <v>7</v>
      </c>
      <c r="E8" s="25">
        <f>(PI()*(Tabela1[[#This Row],[d (cm)]]^2))/40000</f>
        <v>3.5256523554911454E-3</v>
      </c>
      <c r="F8" s="23">
        <f>$K$1*(Tabela1[[#This Row],[d (cm)]]^$K$2)*(Tabela1[[#This Row],[Ht (m)]]^$K$3)</f>
        <v>1.8563850193812511E-2</v>
      </c>
      <c r="G8" s="27">
        <f>1/Tabela1[[#This Row],[gi (m²)]]</f>
        <v>283.63545215753237</v>
      </c>
      <c r="H8" s="28">
        <f>($K$43/Tabela1[[#This Row],[gi (m²)]])*Tabela1[[#This Row],[vi (m³)]]</f>
        <v>5.2653660435067069</v>
      </c>
      <c r="I8" s="19"/>
      <c r="J8" s="6" t="s">
        <v>4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x14ac:dyDescent="0.35">
      <c r="A9" s="8">
        <v>2</v>
      </c>
      <c r="B9" s="4">
        <v>2</v>
      </c>
      <c r="C9" s="5">
        <v>8.6</v>
      </c>
      <c r="D9" s="5">
        <v>7</v>
      </c>
      <c r="E9" s="25">
        <f>(PI()*(Tabela1[[#This Row],[d (cm)]]^2))/40000</f>
        <v>5.8088048164875268E-3</v>
      </c>
      <c r="F9" s="23">
        <f>$K$1*(Tabela1[[#This Row],[d (cm)]]^$K$2)*(Tabela1[[#This Row],[Ht (m)]]^$K$3)</f>
        <v>2.8430529917407753E-2</v>
      </c>
      <c r="G9" s="27">
        <f>1/Tabela1[[#This Row],[gi (m²)]]</f>
        <v>172.15245331735571</v>
      </c>
      <c r="H9" s="28">
        <f>($K$43/Tabela1[[#This Row],[gi (m²)]])*Tabela1[[#This Row],[vi (m³)]]</f>
        <v>4.8943854743942232</v>
      </c>
      <c r="I9" s="19"/>
      <c r="J9" s="16" t="s">
        <v>5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35">
      <c r="A10" s="8">
        <v>2</v>
      </c>
      <c r="B10" s="4">
        <v>3</v>
      </c>
      <c r="C10" s="5">
        <v>12.3</v>
      </c>
      <c r="D10" s="5">
        <v>9</v>
      </c>
      <c r="E10" s="25">
        <f>(PI()*(Tabela1[[#This Row],[d (cm)]]^2))/40000</f>
        <v>1.1882288814039996E-2</v>
      </c>
      <c r="F10" s="23">
        <f>$K$1*(Tabela1[[#This Row],[d (cm)]]^$K$2)*(Tabela1[[#This Row],[Ht (m)]]^$K$3)</f>
        <v>7.0255223676986042E-2</v>
      </c>
      <c r="G10" s="27">
        <f>1/Tabela1[[#This Row],[gi (m²)]]</f>
        <v>84.158870033390343</v>
      </c>
      <c r="H10" s="28">
        <f>($K$43/Tabela1[[#This Row],[gi (m²)]])*Tabela1[[#This Row],[vi (m³)]]</f>
        <v>5.9126002385982366</v>
      </c>
      <c r="I10" s="19"/>
      <c r="J10" s="16" t="s">
        <v>6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35">
      <c r="A11" s="8">
        <v>2</v>
      </c>
      <c r="B11" s="4">
        <v>4</v>
      </c>
      <c r="C11" s="5">
        <v>5.3</v>
      </c>
      <c r="D11" s="5">
        <v>6</v>
      </c>
      <c r="E11" s="25">
        <f>(PI()*(Tabela1[[#This Row],[d (cm)]]^2))/40000</f>
        <v>2.2061834409834321E-3</v>
      </c>
      <c r="F11" s="23">
        <f>$K$1*(Tabela1[[#This Row],[d (cm)]]^$K$2)*(Tabela1[[#This Row],[Ht (m)]]^$K$3)</f>
        <v>1.0390085678093611E-2</v>
      </c>
      <c r="G11" s="27">
        <f>1/Tabela1[[#This Row],[gi (m²)]]</f>
        <v>453.2714648398586</v>
      </c>
      <c r="H11" s="28">
        <f>($K$43/Tabela1[[#This Row],[gi (m²)]])*Tabela1[[#This Row],[vi (m³)]]</f>
        <v>4.7095293551211261</v>
      </c>
      <c r="I11" s="19"/>
      <c r="J11" s="16" t="s">
        <v>7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35">
      <c r="A12" s="8">
        <v>2</v>
      </c>
      <c r="B12" s="4">
        <v>5</v>
      </c>
      <c r="C12" s="5">
        <v>12</v>
      </c>
      <c r="D12" s="5">
        <v>10.3</v>
      </c>
      <c r="E12" s="25">
        <f>(PI()*(Tabela1[[#This Row],[d (cm)]]^2))/40000</f>
        <v>1.1309733552923255E-2</v>
      </c>
      <c r="F12" s="23">
        <f>$K$1*(Tabela1[[#This Row],[d (cm)]]^$K$2)*(Tabela1[[#This Row],[Ht (m)]]^$K$3)</f>
        <v>7.8858888640063116E-2</v>
      </c>
      <c r="G12" s="27">
        <f>1/Tabela1[[#This Row],[gi (m²)]]</f>
        <v>88.419412828830744</v>
      </c>
      <c r="H12" s="28">
        <f>($K$43/Tabela1[[#This Row],[gi (m²)]])*Tabela1[[#This Row],[vi (m³)]]</f>
        <v>6.9726566298885313</v>
      </c>
      <c r="I12" s="19"/>
      <c r="J12" s="16" t="s">
        <v>8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35">
      <c r="A13" s="8">
        <v>2</v>
      </c>
      <c r="B13" s="4">
        <v>6</v>
      </c>
      <c r="C13" s="5">
        <v>12.7</v>
      </c>
      <c r="D13" s="5">
        <v>8</v>
      </c>
      <c r="E13" s="25">
        <f>(PI()*(Tabela1[[#This Row],[d (cm)]]^2))/40000</f>
        <v>1.2667686977437443E-2</v>
      </c>
      <c r="F13" s="23">
        <f>$K$1*(Tabela1[[#This Row],[d (cm)]]^$K$2)*(Tabela1[[#This Row],[Ht (m)]]^$K$3)</f>
        <v>6.4658391485809832E-2</v>
      </c>
      <c r="G13" s="27">
        <f>1/Tabela1[[#This Row],[gi (m²)]]</f>
        <v>78.941009655599402</v>
      </c>
      <c r="H13" s="28">
        <f>($K$43/Tabela1[[#This Row],[gi (m²)]])*Tabela1[[#This Row],[vi (m³)]]</f>
        <v>5.1041987065968399</v>
      </c>
      <c r="I13" s="19"/>
      <c r="J13" s="16" t="s">
        <v>9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x14ac:dyDescent="0.35">
      <c r="A14" s="8">
        <v>2</v>
      </c>
      <c r="B14" s="4">
        <v>7</v>
      </c>
      <c r="C14" s="5">
        <v>14.8</v>
      </c>
      <c r="D14" s="5">
        <v>11</v>
      </c>
      <c r="E14" s="25">
        <f>(PI()*(Tabela1[[#This Row],[d (cm)]]^2))/40000</f>
        <v>1.7203361371057709E-2</v>
      </c>
      <c r="F14" s="23">
        <f>$K$1*(Tabela1[[#This Row],[d (cm)]]^$K$2)*(Tabela1[[#This Row],[Ht (m)]]^$K$3)</f>
        <v>0.12182329244318127</v>
      </c>
      <c r="G14" s="27">
        <f>1/Tabela1[[#This Row],[gi (m²)]]</f>
        <v>58.128174978778425</v>
      </c>
      <c r="H14" s="28">
        <f>($K$43/Tabela1[[#This Row],[gi (m²)]])*Tabela1[[#This Row],[vi (m³)]]</f>
        <v>7.081365659628136</v>
      </c>
      <c r="I14" s="19"/>
    </row>
    <row r="15" spans="1:21" x14ac:dyDescent="0.35">
      <c r="A15" s="8">
        <v>2</v>
      </c>
      <c r="B15" s="4">
        <v>8</v>
      </c>
      <c r="C15" s="5">
        <v>5.0999999999999996</v>
      </c>
      <c r="D15" s="5">
        <v>4</v>
      </c>
      <c r="E15" s="25">
        <f>(PI()*(Tabela1[[#This Row],[d (cm)]]^2))/40000</f>
        <v>2.042820622996763E-3</v>
      </c>
      <c r="F15" s="23">
        <f>$K$1*(Tabela1[[#This Row],[d (cm)]]^$K$2)*(Tabela1[[#This Row],[Ht (m)]]^$K$3)</f>
        <v>6.0575019028902572E-3</v>
      </c>
      <c r="G15" s="27">
        <f>1/Tabela1[[#This Row],[gi (m²)]]</f>
        <v>489.51924057484149</v>
      </c>
      <c r="H15" s="28">
        <f>($K$43/Tabela1[[#This Row],[gi (m²)]])*Tabela1[[#This Row],[vi (m³)]]</f>
        <v>2.9652637312834957</v>
      </c>
      <c r="I15" s="19"/>
      <c r="J15" s="1" t="s">
        <v>10</v>
      </c>
    </row>
    <row r="16" spans="1:21" ht="31" customHeight="1" x14ac:dyDescent="0.35">
      <c r="A16" s="8">
        <v>2</v>
      </c>
      <c r="B16" s="4">
        <v>9</v>
      </c>
      <c r="C16" s="5">
        <v>25</v>
      </c>
      <c r="D16" s="5">
        <v>11</v>
      </c>
      <c r="E16" s="25">
        <f>(PI()*(Tabela1[[#This Row],[d (cm)]]^2))/40000</f>
        <v>4.9087385212340517E-2</v>
      </c>
      <c r="F16" s="23">
        <f>$K$1*(Tabela1[[#This Row],[d (cm)]]^$K$2)*(Tabela1[[#This Row],[Ht (m)]]^$K$3)</f>
        <v>0.29816482754496626</v>
      </c>
      <c r="G16" s="27">
        <f>1/Tabela1[[#This Row],[gi (m²)]]</f>
        <v>20.371832715762604</v>
      </c>
      <c r="H16" s="28">
        <f>($K$43/Tabela1[[#This Row],[gi (m²)]])*Tabela1[[#This Row],[vi (m³)]]</f>
        <v>6.074163988470259</v>
      </c>
      <c r="I16" s="19"/>
      <c r="J16" s="17" t="s">
        <v>12</v>
      </c>
      <c r="K16" s="17"/>
      <c r="L16" s="17"/>
    </row>
    <row r="17" spans="1:21" x14ac:dyDescent="0.35">
      <c r="A17" s="8">
        <v>3</v>
      </c>
      <c r="B17" s="4">
        <v>1</v>
      </c>
      <c r="C17" s="5">
        <v>13.4</v>
      </c>
      <c r="D17" s="5">
        <v>11.7</v>
      </c>
      <c r="E17" s="25">
        <f>(PI()*(Tabela1[[#This Row],[d (cm)]]^2))/40000</f>
        <v>1.4102609421964582E-2</v>
      </c>
      <c r="F17" s="23">
        <f>$K$1*(Tabela1[[#This Row],[d (cm)]]^$K$2)*(Tabela1[[#This Row],[Ht (m)]]^$K$3)</f>
        <v>0.11049953387708195</v>
      </c>
      <c r="G17" s="27">
        <f>1/Tabela1[[#This Row],[gi (m²)]]</f>
        <v>70.908863039383093</v>
      </c>
      <c r="H17" s="28">
        <f>($K$43/Tabela1[[#This Row],[gi (m²)]])*Tabela1[[#This Row],[vi (m³)]]</f>
        <v>7.8353963136056759</v>
      </c>
      <c r="I17" s="19"/>
    </row>
    <row r="18" spans="1:21" x14ac:dyDescent="0.35">
      <c r="A18" s="8">
        <v>3</v>
      </c>
      <c r="B18" s="4">
        <v>2</v>
      </c>
      <c r="C18" s="5">
        <v>27.7</v>
      </c>
      <c r="D18" s="5">
        <v>13</v>
      </c>
      <c r="E18" s="25">
        <f>(PI()*(Tabela1[[#This Row],[d (cm)]]^2))/40000</f>
        <v>6.0262815679322811E-2</v>
      </c>
      <c r="F18" s="23">
        <f>$K$1*(Tabela1[[#This Row],[d (cm)]]^$K$2)*(Tabela1[[#This Row],[Ht (m)]]^$K$3)</f>
        <v>0.43181072363285244</v>
      </c>
      <c r="G18" s="27">
        <f>1/Tabela1[[#This Row],[gi (m²)]]</f>
        <v>16.593980694850224</v>
      </c>
      <c r="H18" s="28">
        <f>($K$43/Tabela1[[#This Row],[gi (m²)]])*Tabela1[[#This Row],[vi (m³)]]</f>
        <v>7.1654588117928588</v>
      </c>
      <c r="I18" s="19"/>
    </row>
    <row r="19" spans="1:21" x14ac:dyDescent="0.35">
      <c r="A19" s="8">
        <v>3</v>
      </c>
      <c r="B19" s="4">
        <v>3</v>
      </c>
      <c r="C19" s="5">
        <v>21.6</v>
      </c>
      <c r="D19" s="5">
        <v>22.4</v>
      </c>
      <c r="E19" s="25">
        <f>(PI()*(Tabela1[[#This Row],[d (cm)]]^2))/40000</f>
        <v>3.6643536711471351E-2</v>
      </c>
      <c r="F19" s="23">
        <f>$K$1*(Tabela1[[#This Row],[d (cm)]]^$K$2)*(Tabela1[[#This Row],[Ht (m)]]^$K$3)</f>
        <v>0.5333739122032306</v>
      </c>
      <c r="G19" s="27">
        <f>1/Tabela1[[#This Row],[gi (m²)]]</f>
        <v>27.289942231120598</v>
      </c>
      <c r="H19" s="28">
        <f>($K$43/Tabela1[[#This Row],[gi (m²)]])*Tabela1[[#This Row],[vi (m³)]]</f>
        <v>14.555743251612952</v>
      </c>
      <c r="I19" s="19"/>
      <c r="J19" s="17" t="s">
        <v>11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x14ac:dyDescent="0.35">
      <c r="A20" s="8">
        <v>3</v>
      </c>
      <c r="B20" s="4">
        <v>4</v>
      </c>
      <c r="C20" s="5">
        <v>18.5</v>
      </c>
      <c r="D20" s="5">
        <v>12.9</v>
      </c>
      <c r="E20" s="25">
        <f>(PI()*(Tabela1[[#This Row],[d (cm)]]^2))/40000</f>
        <v>2.6880252142277669E-2</v>
      </c>
      <c r="F20" s="23">
        <f>$K$1*(Tabela1[[#This Row],[d (cm)]]^$K$2)*(Tabela1[[#This Row],[Ht (m)]]^$K$3)</f>
        <v>0.21481375601978797</v>
      </c>
      <c r="G20" s="27">
        <f>1/Tabela1[[#This Row],[gi (m²)]]</f>
        <v>37.202031986418191</v>
      </c>
      <c r="H20" s="28">
        <f>($K$43/Tabela1[[#This Row],[gi (m²)]])*Tabela1[[#This Row],[vi (m³)]]</f>
        <v>7.9915082225707854</v>
      </c>
      <c r="I20" s="19"/>
    </row>
    <row r="21" spans="1:21" x14ac:dyDescent="0.35">
      <c r="A21" s="8">
        <v>4</v>
      </c>
      <c r="B21" s="4">
        <v>1</v>
      </c>
      <c r="C21" s="5">
        <v>14.9</v>
      </c>
      <c r="D21" s="5">
        <v>11</v>
      </c>
      <c r="E21" s="25">
        <f>(PI()*(Tabela1[[#This Row],[d (cm)]]^2))/40000</f>
        <v>1.743662462558675E-2</v>
      </c>
      <c r="F21" s="23">
        <f>$K$1*(Tabela1[[#This Row],[d (cm)]]^$K$2)*(Tabela1[[#This Row],[Ht (m)]]^$K$3)</f>
        <v>0.12323201859603432</v>
      </c>
      <c r="G21" s="27">
        <f>1/Tabela1[[#This Row],[gi (m²)]]</f>
        <v>57.350549287652029</v>
      </c>
      <c r="H21" s="28">
        <f>($K$43/Tabela1[[#This Row],[gi (m²)]])*Tabela1[[#This Row],[vi (m³)]]</f>
        <v>7.0674239563087173</v>
      </c>
      <c r="I21" s="19"/>
    </row>
    <row r="22" spans="1:21" x14ac:dyDescent="0.35">
      <c r="A22" s="8">
        <v>4</v>
      </c>
      <c r="B22" s="4">
        <v>2</v>
      </c>
      <c r="C22" s="5">
        <v>20.399999999999999</v>
      </c>
      <c r="D22" s="5">
        <v>8</v>
      </c>
      <c r="E22" s="25">
        <f>(PI()*(Tabela1[[#This Row],[d (cm)]]^2))/40000</f>
        <v>3.2685129967948208E-2</v>
      </c>
      <c r="F22" s="23">
        <f>$K$1*(Tabela1[[#This Row],[d (cm)]]^$K$2)*(Tabela1[[#This Row],[Ht (m)]]^$K$3)</f>
        <v>0.14522529526783956</v>
      </c>
      <c r="G22" s="27">
        <f>1/Tabela1[[#This Row],[gi (m²)]]</f>
        <v>30.594952535927593</v>
      </c>
      <c r="H22" s="28">
        <f>($K$43/Tabela1[[#This Row],[gi (m²)]])*Tabela1[[#This Row],[vi (m³)]]</f>
        <v>4.4431610157356216</v>
      </c>
      <c r="I22" s="19"/>
    </row>
    <row r="23" spans="1:21" x14ac:dyDescent="0.35">
      <c r="A23" s="8">
        <v>4</v>
      </c>
      <c r="B23" s="4">
        <v>3</v>
      </c>
      <c r="C23" s="5">
        <v>14.5</v>
      </c>
      <c r="D23" s="5">
        <v>10</v>
      </c>
      <c r="E23" s="25">
        <f>(PI()*(Tabela1[[#This Row],[d (cm)]]^2))/40000</f>
        <v>1.6512996385431349E-2</v>
      </c>
      <c r="F23" s="23">
        <f>$K$1*(Tabela1[[#This Row],[d (cm)]]^$K$2)*(Tabela1[[#This Row],[Ht (m)]]^$K$3)</f>
        <v>0.10523708173644518</v>
      </c>
      <c r="G23" s="27">
        <f>1/Tabela1[[#This Row],[gi (m²)]]</f>
        <v>60.558361224026768</v>
      </c>
      <c r="H23" s="28">
        <f>($K$43/Tabela1[[#This Row],[gi (m²)]])*Tabela1[[#This Row],[vi (m³)]]</f>
        <v>6.3729852099580775</v>
      </c>
      <c r="I23" s="19"/>
    </row>
    <row r="24" spans="1:21" x14ac:dyDescent="0.35">
      <c r="A24" s="8">
        <v>4</v>
      </c>
      <c r="B24" s="4">
        <v>4</v>
      </c>
      <c r="C24" s="5">
        <v>18.8</v>
      </c>
      <c r="D24" s="5">
        <v>11</v>
      </c>
      <c r="E24" s="25">
        <f>(PI()*(Tabela1[[#This Row],[d (cm)]]^2))/40000</f>
        <v>2.7759112687119416E-2</v>
      </c>
      <c r="F24" s="23">
        <f>$K$1*(Tabela1[[#This Row],[d (cm)]]^$K$2)*(Tabela1[[#This Row],[Ht (m)]]^$K$3)</f>
        <v>0.18328089169241624</v>
      </c>
      <c r="G24" s="27">
        <f>1/Tabela1[[#This Row],[gi (m²)]]</f>
        <v>36.024206222701523</v>
      </c>
      <c r="H24" s="28">
        <f>($K$43/Tabela1[[#This Row],[gi (m²)]])*Tabela1[[#This Row],[vi (m³)]]</f>
        <v>6.6025486390082246</v>
      </c>
      <c r="I24" s="19"/>
    </row>
    <row r="25" spans="1:21" x14ac:dyDescent="0.35">
      <c r="A25" s="8">
        <v>4</v>
      </c>
      <c r="B25" s="4">
        <v>5</v>
      </c>
      <c r="C25" s="5">
        <v>21</v>
      </c>
      <c r="D25" s="5">
        <v>9</v>
      </c>
      <c r="E25" s="25">
        <f>(PI()*(Tabela1[[#This Row],[d (cm)]]^2))/40000</f>
        <v>3.4636059005827467E-2</v>
      </c>
      <c r="F25" s="23">
        <f>$K$1*(Tabela1[[#This Row],[d (cm)]]^$K$2)*(Tabela1[[#This Row],[Ht (m)]]^$K$3)</f>
        <v>0.1751135599412138</v>
      </c>
      <c r="G25" s="27">
        <f>1/Tabela1[[#This Row],[gi (m²)]]</f>
        <v>28.871645005332489</v>
      </c>
      <c r="H25" s="28">
        <f>($K$43/Tabela1[[#This Row],[gi (m²)]])*Tabela1[[#This Row],[vi (m³)]]</f>
        <v>5.0558165382427367</v>
      </c>
      <c r="I25" s="19"/>
    </row>
    <row r="26" spans="1:21" x14ac:dyDescent="0.35">
      <c r="A26" s="8">
        <v>4</v>
      </c>
      <c r="B26" s="4">
        <v>6</v>
      </c>
      <c r="C26" s="5">
        <v>6</v>
      </c>
      <c r="D26" s="5">
        <v>6</v>
      </c>
      <c r="E26" s="25">
        <f>(PI()*(Tabela1[[#This Row],[d (cm)]]^2))/40000</f>
        <v>2.8274333882308137E-3</v>
      </c>
      <c r="F26" s="23">
        <f>$K$1*(Tabela1[[#This Row],[d (cm)]]^$K$2)*(Tabela1[[#This Row],[Ht (m)]]^$K$3)</f>
        <v>1.2841127332458164E-2</v>
      </c>
      <c r="G26" s="27">
        <f>1/Tabela1[[#This Row],[gi (m²)]]</f>
        <v>353.67765131532298</v>
      </c>
      <c r="H26" s="28">
        <f>($K$43/Tabela1[[#This Row],[gi (m²)]])*Tabela1[[#This Row],[vi (m³)]]</f>
        <v>4.5416197551848017</v>
      </c>
      <c r="I26" s="19"/>
    </row>
    <row r="27" spans="1:21" x14ac:dyDescent="0.35">
      <c r="A27" s="8">
        <v>4</v>
      </c>
      <c r="B27" s="4">
        <v>7</v>
      </c>
      <c r="C27" s="5">
        <v>7.6</v>
      </c>
      <c r="D27" s="5">
        <v>7</v>
      </c>
      <c r="E27" s="25">
        <f>(PI()*(Tabela1[[#This Row],[d (cm)]]^2))/40000</f>
        <v>4.5364597917836608E-3</v>
      </c>
      <c r="F27" s="23">
        <f>$K$1*(Tabela1[[#This Row],[d (cm)]]^$K$2)*(Tabela1[[#This Row],[Ht (m)]]^$K$3)</f>
        <v>2.302110777384566E-2</v>
      </c>
      <c r="G27" s="27">
        <f>1/Tabela1[[#This Row],[gi (m²)]]</f>
        <v>220.43620926855311</v>
      </c>
      <c r="H27" s="28">
        <f>($K$43/Tabela1[[#This Row],[gi (m²)]])*Tabela1[[#This Row],[vi (m³)]]</f>
        <v>5.0746857308293567</v>
      </c>
      <c r="I27" s="19"/>
      <c r="J27" s="17" t="s">
        <v>13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 x14ac:dyDescent="0.35">
      <c r="A28" s="8">
        <v>4</v>
      </c>
      <c r="B28" s="4">
        <v>8</v>
      </c>
      <c r="C28" s="5">
        <v>6.7</v>
      </c>
      <c r="D28" s="5">
        <v>7</v>
      </c>
      <c r="E28" s="25">
        <f>(PI()*(Tabela1[[#This Row],[d (cm)]]^2))/40000</f>
        <v>3.5256523554911454E-3</v>
      </c>
      <c r="F28" s="23">
        <f>$K$1*(Tabela1[[#This Row],[d (cm)]]^$K$2)*(Tabela1[[#This Row],[Ht (m)]]^$K$3)</f>
        <v>1.8563850193812511E-2</v>
      </c>
      <c r="G28" s="27">
        <f>1/Tabela1[[#This Row],[gi (m²)]]</f>
        <v>283.63545215753237</v>
      </c>
      <c r="H28" s="28">
        <f>($K$43/Tabela1[[#This Row],[gi (m²)]])*Tabela1[[#This Row],[vi (m³)]]</f>
        <v>5.2653660435067069</v>
      </c>
      <c r="I28" s="19"/>
    </row>
    <row r="29" spans="1:21" x14ac:dyDescent="0.35">
      <c r="A29" s="8">
        <v>4</v>
      </c>
      <c r="B29" s="4">
        <v>9</v>
      </c>
      <c r="C29" s="5">
        <v>7.3</v>
      </c>
      <c r="D29" s="5">
        <v>8</v>
      </c>
      <c r="E29" s="25">
        <f>(PI()*(Tabela1[[#This Row],[d (cm)]]^2))/40000</f>
        <v>4.1853868127450016E-3</v>
      </c>
      <c r="F29" s="23">
        <f>$K$1*(Tabela1[[#This Row],[d (cm)]]^$K$2)*(Tabela1[[#This Row],[Ht (m)]]^$K$3)</f>
        <v>2.5121199913778203E-2</v>
      </c>
      <c r="G29" s="27">
        <f>1/Tabela1[[#This Row],[gi (m²)]]</f>
        <v>238.92654245358656</v>
      </c>
      <c r="H29" s="28">
        <f>($K$43/Tabela1[[#This Row],[gi (m²)]])*Tabela1[[#This Row],[vi (m³)]]</f>
        <v>6.0021214376843632</v>
      </c>
      <c r="I29" s="19"/>
    </row>
    <row r="30" spans="1:21" x14ac:dyDescent="0.35">
      <c r="A30" s="8">
        <v>5</v>
      </c>
      <c r="B30" s="4">
        <v>1</v>
      </c>
      <c r="C30" s="5">
        <v>18</v>
      </c>
      <c r="D30" s="5">
        <v>9</v>
      </c>
      <c r="E30" s="25">
        <f>(PI()*(Tabela1[[#This Row],[d (cm)]]^2))/40000</f>
        <v>2.5446900494077322E-2</v>
      </c>
      <c r="F30" s="23">
        <f>$K$1*(Tabela1[[#This Row],[d (cm)]]^$K$2)*(Tabela1[[#This Row],[Ht (m)]]^$K$3)</f>
        <v>0.13459170960969424</v>
      </c>
      <c r="G30" s="27">
        <f>1/Tabela1[[#This Row],[gi (m²)]]</f>
        <v>39.297516812813669</v>
      </c>
      <c r="H30" s="28">
        <f>($K$43/Tabela1[[#This Row],[gi (m²)]])*Tabela1[[#This Row],[vi (m³)]]</f>
        <v>5.2891199712522949</v>
      </c>
      <c r="I30" s="19"/>
    </row>
    <row r="31" spans="1:21" x14ac:dyDescent="0.35">
      <c r="A31" s="8">
        <v>5</v>
      </c>
      <c r="B31" s="4">
        <v>2</v>
      </c>
      <c r="C31" s="5">
        <v>15.9</v>
      </c>
      <c r="D31" s="5">
        <v>10</v>
      </c>
      <c r="E31" s="25">
        <f>(PI()*(Tabela1[[#This Row],[d (cm)]]^2))/40000</f>
        <v>1.9855650968850891E-2</v>
      </c>
      <c r="F31" s="23">
        <f>$K$1*(Tabela1[[#This Row],[d (cm)]]^$K$2)*(Tabela1[[#This Row],[Ht (m)]]^$K$3)</f>
        <v>0.12317212610843258</v>
      </c>
      <c r="G31" s="27">
        <f>1/Tabela1[[#This Row],[gi (m²)]]</f>
        <v>50.363496093317615</v>
      </c>
      <c r="H31" s="28">
        <f>($K$43/Tabela1[[#This Row],[gi (m²)]])*Tabela1[[#This Row],[vi (m³)]]</f>
        <v>6.2033788920676685</v>
      </c>
      <c r="I31" s="19"/>
      <c r="K31" s="14"/>
    </row>
    <row r="32" spans="1:21" x14ac:dyDescent="0.35">
      <c r="A32" s="8">
        <v>5</v>
      </c>
      <c r="B32" s="4">
        <v>3</v>
      </c>
      <c r="C32" s="5">
        <v>9.6999999999999993</v>
      </c>
      <c r="D32" s="5">
        <v>5</v>
      </c>
      <c r="E32" s="25">
        <f>(PI()*(Tabela1[[#This Row],[d (cm)]]^2))/40000</f>
        <v>7.3898113194065902E-3</v>
      </c>
      <c r="F32" s="23">
        <f>$K$1*(Tabela1[[#This Row],[d (cm)]]^$K$2)*(Tabela1[[#This Row],[Ht (m)]]^$K$3)</f>
        <v>2.3564022062031051E-2</v>
      </c>
      <c r="G32" s="27">
        <f>1/Tabela1[[#This Row],[gi (m²)]]</f>
        <v>135.32145230472557</v>
      </c>
      <c r="H32" s="28">
        <f>($K$43/Tabela1[[#This Row],[gi (m²)]])*Tabela1[[#This Row],[vi (m³)]]</f>
        <v>3.1887176875746359</v>
      </c>
      <c r="I32" s="19"/>
      <c r="K32" s="14"/>
    </row>
    <row r="33" spans="1:14" x14ac:dyDescent="0.35">
      <c r="A33" s="8">
        <v>5</v>
      </c>
      <c r="B33" s="4">
        <v>4</v>
      </c>
      <c r="C33" s="5">
        <v>9.5</v>
      </c>
      <c r="D33" s="5">
        <v>6</v>
      </c>
      <c r="E33" s="25">
        <f>(PI()*(Tabela1[[#This Row],[d (cm)]]^2))/40000</f>
        <v>7.0882184246619699E-3</v>
      </c>
      <c r="F33" s="23">
        <f>$K$1*(Tabela1[[#This Row],[d (cm)]]^$K$2)*(Tabela1[[#This Row],[Ht (m)]]^$K$3)</f>
        <v>2.8141200047422661E-2</v>
      </c>
      <c r="G33" s="27">
        <f>1/Tabela1[[#This Row],[gi (m²)]]</f>
        <v>141.07917393187401</v>
      </c>
      <c r="H33" s="28">
        <f>($K$43/Tabela1[[#This Row],[gi (m²)]])*Tabela1[[#This Row],[vi (m³)]]</f>
        <v>3.970137256142003</v>
      </c>
      <c r="I33" s="19"/>
      <c r="K33" s="14"/>
    </row>
    <row r="34" spans="1:14" x14ac:dyDescent="0.35">
      <c r="A34" s="8">
        <v>5</v>
      </c>
      <c r="B34" s="4">
        <v>5</v>
      </c>
      <c r="C34" s="5">
        <v>7.2</v>
      </c>
      <c r="D34" s="5">
        <v>6</v>
      </c>
      <c r="E34" s="25">
        <f>(PI()*(Tabela1[[#This Row],[d (cm)]]^2))/40000</f>
        <v>4.0715040790523724E-3</v>
      </c>
      <c r="F34" s="23">
        <f>$K$1*(Tabela1[[#This Row],[d (cm)]]^$K$2)*(Tabela1[[#This Row],[Ht (m)]]^$K$3)</f>
        <v>1.7530451215765873E-2</v>
      </c>
      <c r="G34" s="27">
        <f>1/Tabela1[[#This Row],[gi (m²)]]</f>
        <v>245.60948008008538</v>
      </c>
      <c r="H34" s="28">
        <f>($K$43/Tabela1[[#This Row],[gi (m²)]])*Tabela1[[#This Row],[vi (m³)]]</f>
        <v>4.3056450086735563</v>
      </c>
      <c r="I34" s="19"/>
      <c r="J34" s="17" t="s">
        <v>15</v>
      </c>
      <c r="K34" s="17"/>
      <c r="L34" s="17"/>
      <c r="M34" s="17"/>
    </row>
    <row r="35" spans="1:14" x14ac:dyDescent="0.35">
      <c r="A35" s="8">
        <v>5</v>
      </c>
      <c r="B35" s="4">
        <v>6</v>
      </c>
      <c r="C35" s="5">
        <v>8.8000000000000007</v>
      </c>
      <c r="D35" s="5">
        <v>5.5</v>
      </c>
      <c r="E35" s="25">
        <f>(PI()*(Tabela1[[#This Row],[d (cm)]]^2))/40000</f>
        <v>6.0821233773498407E-3</v>
      </c>
      <c r="F35" s="23">
        <f>$K$1*(Tabela1[[#This Row],[d (cm)]]^$K$2)*(Tabela1[[#This Row],[Ht (m)]]^$K$3)</f>
        <v>2.2306125841646509E-2</v>
      </c>
      <c r="G35" s="27">
        <f>1/Tabela1[[#This Row],[gi (m²)]]</f>
        <v>164.41626352468523</v>
      </c>
      <c r="H35" s="28">
        <f>($K$43/Tabela1[[#This Row],[gi (m²)]])*Tabela1[[#This Row],[vi (m³)]]</f>
        <v>3.6674898645949439</v>
      </c>
      <c r="I35" s="19"/>
      <c r="K35" s="14"/>
    </row>
    <row r="36" spans="1:14" ht="30" x14ac:dyDescent="0.35">
      <c r="A36" s="8">
        <v>5</v>
      </c>
      <c r="B36" s="4">
        <v>7</v>
      </c>
      <c r="C36" s="5">
        <v>7.9</v>
      </c>
      <c r="D36" s="5">
        <v>6</v>
      </c>
      <c r="E36" s="25">
        <f>(PI()*(Tabela1[[#This Row],[d (cm)]]^2))/40000</f>
        <v>4.9016699377634754E-3</v>
      </c>
      <c r="F36" s="23">
        <f>$K$1*(Tabela1[[#This Row],[d (cm)]]^$K$2)*(Tabela1[[#This Row],[Ht (m)]]^$K$3)</f>
        <v>2.0539505829534638E-2</v>
      </c>
      <c r="G36" s="27">
        <f>1/Tabela1[[#This Row],[gi (m²)]]</f>
        <v>204.01210458823306</v>
      </c>
      <c r="H36" s="28">
        <f>($K$43/Tabela1[[#This Row],[gi (m²)]])*Tabela1[[#This Row],[vi (m³)]]</f>
        <v>4.1903078114856429</v>
      </c>
      <c r="I36" s="19"/>
      <c r="J36" s="3" t="s">
        <v>16</v>
      </c>
      <c r="K36" s="15" t="s">
        <v>22</v>
      </c>
      <c r="L36" s="3" t="s">
        <v>23</v>
      </c>
      <c r="M36" s="3" t="s">
        <v>26</v>
      </c>
      <c r="N36" s="3" t="s">
        <v>27</v>
      </c>
    </row>
    <row r="37" spans="1:14" x14ac:dyDescent="0.35">
      <c r="A37" s="8">
        <v>5</v>
      </c>
      <c r="B37" s="4">
        <v>8</v>
      </c>
      <c r="C37" s="5">
        <v>7.3</v>
      </c>
      <c r="D37" s="5">
        <v>6.5</v>
      </c>
      <c r="E37" s="25">
        <f>(PI()*(Tabela1[[#This Row],[d (cm)]]^2))/40000</f>
        <v>4.1853868127450016E-3</v>
      </c>
      <c r="F37" s="23">
        <f>$K$1*(Tabela1[[#This Row],[d (cm)]]^$K$2)*(Tabela1[[#This Row],[Ht (m)]]^$K$3)</f>
        <v>1.9708258339053129E-2</v>
      </c>
      <c r="G37" s="27">
        <f>1/Tabela1[[#This Row],[gi (m²)]]</f>
        <v>238.92654245358656</v>
      </c>
      <c r="H37" s="28">
        <f>($K$43/Tabela1[[#This Row],[gi (m²)]])*Tabela1[[#This Row],[vi (m³)]]</f>
        <v>4.7088260227320289</v>
      </c>
      <c r="I37" s="19"/>
      <c r="J37" s="3">
        <v>1</v>
      </c>
      <c r="K37" s="26">
        <f>COUNTIF(Tabela1[Ponto],J37)</f>
        <v>6</v>
      </c>
      <c r="L37" s="1">
        <f>K37*$K$43</f>
        <v>6</v>
      </c>
      <c r="M37" s="26">
        <f>SUMIF(Tabela1[Ponto],J37,Tabela1[1/gi])*$K$43</f>
        <v>409.25440594015629</v>
      </c>
      <c r="N37" s="14">
        <f>SUMIF(Tabela1[Ponto],J37,Tabela1[(FAB/gi)*vi])</f>
        <v>36.375615666442307</v>
      </c>
    </row>
    <row r="38" spans="1:14" x14ac:dyDescent="0.35">
      <c r="A38" s="11">
        <v>5</v>
      </c>
      <c r="B38" s="12">
        <v>9</v>
      </c>
      <c r="C38" s="13">
        <v>21.8</v>
      </c>
      <c r="D38" s="13">
        <v>12</v>
      </c>
      <c r="E38" s="25">
        <f>(PI()*(Tabela1[[#This Row],[d (cm)]]^2))/40000</f>
        <v>3.732526231730033E-2</v>
      </c>
      <c r="F38" s="24">
        <f>$K$1*(Tabela1[[#This Row],[d (cm)]]^$K$2)*(Tabela1[[#This Row],[Ht (m)]]^$K$3)</f>
        <v>0.26125341476480812</v>
      </c>
      <c r="G38" s="27">
        <f>1/Tabela1[[#This Row],[gi (m²)]]</f>
        <v>26.791506285985246</v>
      </c>
      <c r="H38" s="28">
        <f>($K$43/Tabela1[[#This Row],[gi (m²)]])*Tabela1[[#This Row],[vi (m³)]]</f>
        <v>6.9993725039064678</v>
      </c>
      <c r="I38" s="19"/>
      <c r="J38" s="3">
        <v>2</v>
      </c>
      <c r="K38" s="26">
        <f>COUNTIF(Tabela1[Ponto],J38)</f>
        <v>9</v>
      </c>
      <c r="L38" s="1">
        <f t="shared" ref="L38:L41" si="0">K38*$K$43</f>
        <v>9</v>
      </c>
      <c r="M38" s="26">
        <f>SUMIF(Tabela1[Ponto],J38,Tabela1[1/gi])*$K$43</f>
        <v>1728.5979111019494</v>
      </c>
      <c r="N38" s="14">
        <f>SUMIF(Tabela1[Ponto],J38,Tabela1[(FAB/gi)*vi])</f>
        <v>48.979529827487553</v>
      </c>
    </row>
    <row r="39" spans="1:14" x14ac:dyDescent="0.35">
      <c r="C39" s="2"/>
      <c r="D39" s="2"/>
      <c r="E39" s="2"/>
      <c r="F39" s="2"/>
      <c r="G39" s="2"/>
      <c r="H39" s="2"/>
      <c r="I39" s="2"/>
      <c r="J39" s="3">
        <v>3</v>
      </c>
      <c r="K39" s="26">
        <f>COUNTIF(Tabela1[Ponto],J39)</f>
        <v>4</v>
      </c>
      <c r="L39" s="1">
        <f t="shared" si="0"/>
        <v>4</v>
      </c>
      <c r="M39" s="26">
        <f>SUMIF(Tabela1[Ponto],J39,Tabela1[1/gi])*$K$43</f>
        <v>151.99481795177212</v>
      </c>
      <c r="N39" s="14">
        <f>SUMIF(Tabela1[Ponto],J39,Tabela1[(FAB/gi)*vi])</f>
        <v>37.548106599582269</v>
      </c>
    </row>
    <row r="40" spans="1:14" x14ac:dyDescent="0.35">
      <c r="C40" s="2"/>
      <c r="D40" s="2"/>
      <c r="E40" s="2"/>
      <c r="F40" s="2"/>
      <c r="G40" s="2"/>
      <c r="H40" s="2"/>
      <c r="I40" s="2"/>
      <c r="J40" s="3">
        <v>4</v>
      </c>
      <c r="K40" s="26">
        <f>COUNTIF(Tabela1[Ponto],J40)</f>
        <v>9</v>
      </c>
      <c r="L40" s="1">
        <f t="shared" si="0"/>
        <v>9</v>
      </c>
      <c r="M40" s="26">
        <f>SUMIF(Tabela1[Ponto],J40,Tabela1[1/gi])*$K$43</f>
        <v>1310.0755694706354</v>
      </c>
      <c r="N40" s="14">
        <f>SUMIF(Tabela1[Ponto],J40,Tabela1[(FAB/gi)*vi])</f>
        <v>50.425728326458618</v>
      </c>
    </row>
    <row r="41" spans="1:14" x14ac:dyDescent="0.35">
      <c r="C41" s="2"/>
      <c r="D41" s="2"/>
      <c r="E41" s="2"/>
      <c r="F41" s="2"/>
      <c r="G41" s="2"/>
      <c r="H41" s="2"/>
      <c r="I41" s="2"/>
      <c r="J41" s="3">
        <v>5</v>
      </c>
      <c r="K41" s="26">
        <f>COUNTIF(Tabela1[Ponto],J41)</f>
        <v>9</v>
      </c>
      <c r="L41" s="1">
        <f t="shared" si="0"/>
        <v>9</v>
      </c>
      <c r="M41" s="26">
        <f>SUMIF(Tabela1[Ponto],J41,Tabela1[1/gi])*$K$43</f>
        <v>1245.8175360753064</v>
      </c>
      <c r="N41" s="14">
        <f>SUMIF(Tabela1[Ponto],J41,Tabela1[(FAB/gi)*vi])</f>
        <v>42.522995018429242</v>
      </c>
    </row>
    <row r="42" spans="1:14" x14ac:dyDescent="0.35">
      <c r="C42" s="2"/>
      <c r="D42" s="2"/>
      <c r="E42" s="2"/>
      <c r="F42" s="2"/>
      <c r="G42" s="2"/>
      <c r="H42" s="2"/>
      <c r="I42" s="2"/>
      <c r="J42" s="3" t="s">
        <v>14</v>
      </c>
      <c r="K42" s="26"/>
      <c r="L42" s="1">
        <f>AVERAGE(L37:L41)</f>
        <v>7.4</v>
      </c>
      <c r="M42" s="26"/>
      <c r="N42" s="14">
        <f>AVERAGE(N37:N41)</f>
        <v>43.170395087679999</v>
      </c>
    </row>
    <row r="43" spans="1:14" x14ac:dyDescent="0.35">
      <c r="C43" s="2"/>
      <c r="D43" s="2"/>
      <c r="E43" s="2"/>
      <c r="F43" s="2"/>
      <c r="G43" s="2"/>
      <c r="H43" s="2"/>
      <c r="I43" s="2"/>
      <c r="J43" s="3" t="s">
        <v>24</v>
      </c>
      <c r="K43" s="1">
        <v>1</v>
      </c>
    </row>
    <row r="44" spans="1:14" x14ac:dyDescent="0.35">
      <c r="C44" s="2"/>
      <c r="D44" s="2"/>
      <c r="E44" s="2"/>
      <c r="F44" s="2"/>
      <c r="G44" s="2"/>
      <c r="H44" s="2"/>
      <c r="I44" s="2"/>
    </row>
    <row r="45" spans="1:14" x14ac:dyDescent="0.35">
      <c r="C45" s="2"/>
      <c r="D45" s="2"/>
      <c r="E45" s="2"/>
      <c r="F45" s="2"/>
      <c r="G45" s="2"/>
      <c r="H45" s="2"/>
      <c r="I45" s="2"/>
    </row>
    <row r="46" spans="1:14" x14ac:dyDescent="0.35">
      <c r="C46" s="2"/>
      <c r="D46" s="2"/>
      <c r="E46" s="2"/>
      <c r="F46" s="2"/>
      <c r="G46" s="2"/>
      <c r="H46" s="2"/>
      <c r="I46" s="2"/>
    </row>
    <row r="47" spans="1:14" x14ac:dyDescent="0.35">
      <c r="C47" s="2"/>
      <c r="D47" s="2"/>
      <c r="E47" s="2"/>
      <c r="F47" s="2"/>
      <c r="G47" s="2"/>
      <c r="H47" s="2"/>
      <c r="I47" s="2"/>
    </row>
    <row r="48" spans="1:14" x14ac:dyDescent="0.35">
      <c r="C48" s="2"/>
      <c r="D48" s="2"/>
      <c r="E48" s="2"/>
      <c r="F48" s="2"/>
      <c r="G48" s="2"/>
      <c r="H48" s="2"/>
      <c r="I48" s="2"/>
    </row>
    <row r="49" spans="3:9" x14ac:dyDescent="0.35">
      <c r="C49" s="2"/>
      <c r="D49" s="2"/>
      <c r="E49" s="2"/>
      <c r="F49" s="2"/>
      <c r="G49" s="2"/>
      <c r="H49" s="2"/>
      <c r="I49" s="2"/>
    </row>
    <row r="50" spans="3:9" x14ac:dyDescent="0.35">
      <c r="C50" s="2"/>
      <c r="D50" s="2"/>
      <c r="E50" s="2"/>
      <c r="F50" s="2"/>
      <c r="G50" s="2"/>
      <c r="H50" s="2"/>
      <c r="I50" s="2"/>
    </row>
    <row r="51" spans="3:9" x14ac:dyDescent="0.35">
      <c r="C51" s="2"/>
      <c r="D51" s="2"/>
      <c r="E51" s="2"/>
      <c r="F51" s="2"/>
      <c r="G51" s="2"/>
      <c r="H51" s="2"/>
      <c r="I51" s="2"/>
    </row>
    <row r="52" spans="3:9" x14ac:dyDescent="0.35">
      <c r="C52" s="2"/>
      <c r="D52" s="2"/>
      <c r="E52" s="2"/>
      <c r="F52" s="2"/>
      <c r="G52" s="2"/>
      <c r="H52" s="2"/>
      <c r="I52" s="2"/>
    </row>
    <row r="53" spans="3:9" x14ac:dyDescent="0.35">
      <c r="C53" s="2"/>
      <c r="D53" s="2"/>
      <c r="E53" s="2"/>
      <c r="F53" s="2"/>
      <c r="G53" s="2"/>
      <c r="H53" s="2"/>
      <c r="I53" s="2"/>
    </row>
    <row r="54" spans="3:9" x14ac:dyDescent="0.35">
      <c r="C54" s="2"/>
      <c r="D54" s="2"/>
      <c r="E54" s="2"/>
      <c r="F54" s="2"/>
      <c r="G54" s="2"/>
      <c r="H54" s="2"/>
      <c r="I54" s="2"/>
    </row>
    <row r="55" spans="3:9" x14ac:dyDescent="0.35">
      <c r="C55" s="2"/>
      <c r="D55" s="2"/>
      <c r="E55" s="2"/>
      <c r="F55" s="2"/>
      <c r="G55" s="2"/>
      <c r="H55" s="2"/>
      <c r="I55" s="2"/>
    </row>
    <row r="56" spans="3:9" x14ac:dyDescent="0.35">
      <c r="C56" s="2"/>
      <c r="D56" s="2"/>
      <c r="E56" s="2"/>
      <c r="F56" s="2"/>
      <c r="G56" s="2"/>
      <c r="H56" s="2"/>
      <c r="I56" s="2"/>
    </row>
    <row r="57" spans="3:9" x14ac:dyDescent="0.35">
      <c r="C57" s="2"/>
      <c r="D57" s="2"/>
      <c r="E57" s="2"/>
      <c r="F57" s="2"/>
      <c r="G57" s="2"/>
      <c r="H57" s="2"/>
      <c r="I57" s="2"/>
    </row>
    <row r="58" spans="3:9" x14ac:dyDescent="0.35">
      <c r="C58" s="2"/>
      <c r="D58" s="2"/>
      <c r="E58" s="2"/>
      <c r="F58" s="2"/>
      <c r="G58" s="2"/>
      <c r="H58" s="2"/>
      <c r="I58" s="2"/>
    </row>
    <row r="59" spans="3:9" x14ac:dyDescent="0.35">
      <c r="C59" s="2"/>
      <c r="D59" s="2"/>
      <c r="E59" s="2"/>
      <c r="F59" s="2"/>
      <c r="G59" s="2"/>
      <c r="H59" s="2"/>
      <c r="I59" s="2"/>
    </row>
    <row r="60" spans="3:9" x14ac:dyDescent="0.35">
      <c r="C60" s="2"/>
      <c r="D60" s="2"/>
      <c r="E60" s="2"/>
      <c r="F60" s="2"/>
      <c r="G60" s="2"/>
      <c r="H60" s="2"/>
      <c r="I60" s="2"/>
    </row>
    <row r="61" spans="3:9" x14ac:dyDescent="0.35">
      <c r="C61" s="2"/>
      <c r="D61" s="2"/>
      <c r="E61" s="2"/>
      <c r="F61" s="2"/>
      <c r="G61" s="2"/>
      <c r="H61" s="2"/>
      <c r="I61" s="2"/>
    </row>
    <row r="62" spans="3:9" x14ac:dyDescent="0.35">
      <c r="C62" s="2"/>
      <c r="D62" s="2"/>
      <c r="E62" s="2"/>
      <c r="F62" s="2"/>
      <c r="G62" s="2"/>
      <c r="H62" s="2"/>
      <c r="I62" s="2"/>
    </row>
    <row r="63" spans="3:9" x14ac:dyDescent="0.35">
      <c r="C63" s="2"/>
      <c r="D63" s="2"/>
      <c r="E63" s="2"/>
      <c r="F63" s="2"/>
      <c r="G63" s="2"/>
      <c r="H63" s="2"/>
      <c r="I63" s="2"/>
    </row>
    <row r="64" spans="3:9" x14ac:dyDescent="0.35">
      <c r="C64" s="2"/>
      <c r="D64" s="2"/>
      <c r="E64" s="2"/>
      <c r="F64" s="2"/>
      <c r="G64" s="2"/>
      <c r="H64" s="2"/>
      <c r="I64" s="2"/>
    </row>
    <row r="65" spans="3:9" x14ac:dyDescent="0.35">
      <c r="C65" s="2"/>
      <c r="D65" s="2"/>
      <c r="E65" s="2"/>
      <c r="F65" s="2"/>
      <c r="G65" s="2"/>
      <c r="H65" s="2"/>
      <c r="I65" s="2"/>
    </row>
    <row r="66" spans="3:9" x14ac:dyDescent="0.35">
      <c r="C66" s="2"/>
      <c r="D66" s="2"/>
      <c r="E66" s="2"/>
      <c r="F66" s="2"/>
      <c r="G66" s="2"/>
      <c r="H66" s="2"/>
      <c r="I66" s="2"/>
    </row>
    <row r="67" spans="3:9" x14ac:dyDescent="0.35">
      <c r="C67" s="2"/>
      <c r="D67" s="2"/>
      <c r="E67" s="2"/>
      <c r="F67" s="2"/>
      <c r="G67" s="2"/>
      <c r="H67" s="2"/>
      <c r="I67" s="2"/>
    </row>
    <row r="68" spans="3:9" x14ac:dyDescent="0.35">
      <c r="C68" s="2"/>
      <c r="D68" s="2"/>
      <c r="E68" s="2"/>
      <c r="F68" s="2"/>
      <c r="G68" s="2"/>
      <c r="H68" s="2"/>
      <c r="I68" s="2"/>
    </row>
    <row r="69" spans="3:9" x14ac:dyDescent="0.35">
      <c r="C69" s="2"/>
      <c r="D69" s="2"/>
      <c r="E69" s="2"/>
      <c r="F69" s="2"/>
      <c r="G69" s="2"/>
      <c r="H69" s="2"/>
      <c r="I69" s="2"/>
    </row>
    <row r="70" spans="3:9" x14ac:dyDescent="0.35">
      <c r="C70" s="2"/>
      <c r="D70" s="2"/>
      <c r="E70" s="2"/>
      <c r="F70" s="2"/>
      <c r="G70" s="2"/>
      <c r="H70" s="2"/>
      <c r="I70" s="2"/>
    </row>
    <row r="71" spans="3:9" x14ac:dyDescent="0.35">
      <c r="C71" s="2"/>
      <c r="D71" s="2"/>
      <c r="E71" s="2"/>
      <c r="F71" s="2"/>
      <c r="G71" s="2"/>
      <c r="H71" s="2"/>
      <c r="I71" s="2"/>
    </row>
    <row r="72" spans="3:9" x14ac:dyDescent="0.35">
      <c r="C72" s="2"/>
      <c r="D72" s="2"/>
      <c r="E72" s="2"/>
      <c r="F72" s="2"/>
      <c r="G72" s="2"/>
      <c r="H72" s="2"/>
      <c r="I72" s="2"/>
    </row>
    <row r="73" spans="3:9" x14ac:dyDescent="0.35">
      <c r="C73" s="2"/>
      <c r="D73" s="2"/>
      <c r="E73" s="2"/>
      <c r="F73" s="2"/>
      <c r="G73" s="2"/>
      <c r="H73" s="2"/>
      <c r="I73" s="2"/>
    </row>
    <row r="74" spans="3:9" x14ac:dyDescent="0.35">
      <c r="C74" s="2"/>
      <c r="D74" s="2"/>
      <c r="E74" s="2"/>
      <c r="F74" s="2"/>
      <c r="G74" s="2"/>
      <c r="H74" s="2"/>
      <c r="I74" s="2"/>
    </row>
    <row r="75" spans="3:9" x14ac:dyDescent="0.35">
      <c r="C75" s="2"/>
      <c r="D75" s="2"/>
      <c r="E75" s="2"/>
      <c r="F75" s="2"/>
      <c r="G75" s="2"/>
      <c r="H75" s="2"/>
      <c r="I75" s="2"/>
    </row>
    <row r="76" spans="3:9" x14ac:dyDescent="0.35">
      <c r="C76" s="2"/>
      <c r="D76" s="2"/>
      <c r="E76" s="2"/>
      <c r="F76" s="2"/>
      <c r="G76" s="2"/>
      <c r="H76" s="2"/>
      <c r="I76" s="2"/>
    </row>
    <row r="77" spans="3:9" x14ac:dyDescent="0.35">
      <c r="C77" s="2"/>
      <c r="D77" s="2"/>
      <c r="E77" s="2"/>
      <c r="F77" s="2"/>
      <c r="G77" s="2"/>
      <c r="H77" s="2"/>
      <c r="I77" s="2"/>
    </row>
    <row r="78" spans="3:9" x14ac:dyDescent="0.35">
      <c r="C78" s="2"/>
      <c r="D78" s="2"/>
      <c r="E78" s="2"/>
      <c r="F78" s="2"/>
      <c r="G78" s="2"/>
      <c r="H78" s="2"/>
      <c r="I78" s="2"/>
    </row>
    <row r="79" spans="3:9" x14ac:dyDescent="0.35">
      <c r="C79" s="2"/>
      <c r="D79" s="2"/>
      <c r="E79" s="2"/>
      <c r="F79" s="2"/>
      <c r="G79" s="2"/>
      <c r="H79" s="2"/>
      <c r="I79" s="2"/>
    </row>
    <row r="80" spans="3:9" x14ac:dyDescent="0.35">
      <c r="C80" s="2"/>
      <c r="D80" s="2"/>
      <c r="E80" s="2"/>
      <c r="F80" s="2"/>
      <c r="G80" s="2"/>
      <c r="H80" s="2"/>
      <c r="I80" s="2"/>
    </row>
    <row r="81" spans="3:9" x14ac:dyDescent="0.35">
      <c r="C81" s="2"/>
      <c r="D81" s="2"/>
      <c r="E81" s="2"/>
      <c r="F81" s="2"/>
      <c r="G81" s="2"/>
      <c r="H81" s="2"/>
      <c r="I81" s="2"/>
    </row>
    <row r="82" spans="3:9" x14ac:dyDescent="0.35">
      <c r="C82" s="2"/>
      <c r="D82" s="2"/>
      <c r="E82" s="2"/>
      <c r="F82" s="2"/>
      <c r="G82" s="2"/>
      <c r="H82" s="2"/>
      <c r="I82" s="2"/>
    </row>
    <row r="83" spans="3:9" x14ac:dyDescent="0.35">
      <c r="C83" s="2"/>
      <c r="D83" s="2"/>
      <c r="E83" s="2"/>
      <c r="F83" s="2"/>
      <c r="G83" s="2"/>
      <c r="H83" s="2"/>
      <c r="I83" s="2"/>
    </row>
    <row r="84" spans="3:9" x14ac:dyDescent="0.35">
      <c r="C84" s="2"/>
      <c r="D84" s="2"/>
      <c r="E84" s="2"/>
      <c r="F84" s="2"/>
      <c r="G84" s="2"/>
      <c r="H84" s="2"/>
      <c r="I84" s="2"/>
    </row>
    <row r="85" spans="3:9" x14ac:dyDescent="0.35">
      <c r="C85" s="2"/>
      <c r="D85" s="2"/>
      <c r="E85" s="2"/>
      <c r="F85" s="2"/>
      <c r="G85" s="2"/>
      <c r="H85" s="2"/>
      <c r="I85" s="2"/>
    </row>
    <row r="86" spans="3:9" x14ac:dyDescent="0.35">
      <c r="C86" s="2"/>
      <c r="D86" s="2"/>
      <c r="E86" s="2"/>
      <c r="F86" s="2"/>
      <c r="G86" s="2"/>
      <c r="H86" s="2"/>
      <c r="I86" s="2"/>
    </row>
    <row r="87" spans="3:9" x14ac:dyDescent="0.35">
      <c r="C87" s="2"/>
      <c r="D87" s="2"/>
      <c r="E87" s="2"/>
      <c r="F87" s="2"/>
      <c r="G87" s="2"/>
      <c r="H87" s="2"/>
      <c r="I87" s="2"/>
    </row>
    <row r="88" spans="3:9" x14ac:dyDescent="0.35">
      <c r="C88" s="2"/>
      <c r="D88" s="2"/>
      <c r="E88" s="2"/>
      <c r="F88" s="2"/>
      <c r="G88" s="2"/>
      <c r="H88" s="2"/>
      <c r="I88" s="2"/>
    </row>
    <row r="89" spans="3:9" x14ac:dyDescent="0.35">
      <c r="C89" s="2"/>
      <c r="D89" s="2"/>
      <c r="E89" s="2"/>
      <c r="F89" s="2"/>
      <c r="G89" s="2"/>
      <c r="H89" s="2"/>
      <c r="I89" s="2"/>
    </row>
    <row r="90" spans="3:9" x14ac:dyDescent="0.35">
      <c r="C90" s="2"/>
      <c r="D90" s="2"/>
      <c r="E90" s="2"/>
      <c r="F90" s="2"/>
      <c r="G90" s="2"/>
      <c r="H90" s="2"/>
      <c r="I90" s="2"/>
    </row>
    <row r="91" spans="3:9" x14ac:dyDescent="0.35">
      <c r="C91" s="2"/>
      <c r="D91" s="2"/>
      <c r="E91" s="2"/>
      <c r="F91" s="2"/>
      <c r="G91" s="2"/>
      <c r="H91" s="2"/>
      <c r="I91" s="2"/>
    </row>
    <row r="92" spans="3:9" x14ac:dyDescent="0.35">
      <c r="C92" s="2"/>
      <c r="D92" s="2"/>
      <c r="E92" s="2"/>
      <c r="F92" s="2"/>
      <c r="G92" s="2"/>
      <c r="H92" s="2"/>
      <c r="I92" s="2"/>
    </row>
    <row r="93" spans="3:9" x14ac:dyDescent="0.35">
      <c r="C93" s="2"/>
      <c r="D93" s="2"/>
      <c r="E93" s="2"/>
      <c r="F93" s="2"/>
      <c r="G93" s="2"/>
      <c r="H93" s="2"/>
      <c r="I93" s="2"/>
    </row>
    <row r="94" spans="3:9" x14ac:dyDescent="0.35">
      <c r="C94" s="2"/>
      <c r="D94" s="2"/>
      <c r="E94" s="2"/>
      <c r="F94" s="2"/>
      <c r="G94" s="2"/>
      <c r="H94" s="2"/>
      <c r="I94" s="2"/>
    </row>
    <row r="95" spans="3:9" x14ac:dyDescent="0.35">
      <c r="C95" s="2"/>
      <c r="D95" s="2"/>
      <c r="E95" s="2"/>
      <c r="F95" s="2"/>
      <c r="G95" s="2"/>
      <c r="H95" s="2"/>
      <c r="I95" s="2"/>
    </row>
    <row r="96" spans="3:9" x14ac:dyDescent="0.35">
      <c r="C96" s="2"/>
      <c r="D96" s="2"/>
      <c r="E96" s="2"/>
      <c r="F96" s="2"/>
      <c r="G96" s="2"/>
      <c r="H96" s="2"/>
      <c r="I96" s="2"/>
    </row>
    <row r="97" spans="3:9" x14ac:dyDescent="0.35">
      <c r="C97" s="2"/>
      <c r="D97" s="2"/>
      <c r="E97" s="2"/>
      <c r="F97" s="2"/>
      <c r="G97" s="2"/>
      <c r="H97" s="2"/>
      <c r="I97" s="2"/>
    </row>
    <row r="98" spans="3:9" x14ac:dyDescent="0.35">
      <c r="C98" s="2"/>
      <c r="D98" s="2"/>
      <c r="E98" s="2"/>
      <c r="F98" s="2"/>
      <c r="G98" s="2"/>
      <c r="H98" s="2"/>
      <c r="I98" s="2"/>
    </row>
    <row r="99" spans="3:9" x14ac:dyDescent="0.35">
      <c r="C99" s="2"/>
      <c r="D99" s="2"/>
      <c r="E99" s="2"/>
      <c r="F99" s="2"/>
      <c r="G99" s="2"/>
      <c r="H99" s="2"/>
      <c r="I99" s="2"/>
    </row>
    <row r="100" spans="3:9" x14ac:dyDescent="0.35">
      <c r="C100" s="2"/>
      <c r="D100" s="2"/>
      <c r="E100" s="2"/>
      <c r="F100" s="2"/>
      <c r="G100" s="2"/>
      <c r="H100" s="2"/>
      <c r="I100" s="2"/>
    </row>
    <row r="101" spans="3:9" x14ac:dyDescent="0.35">
      <c r="C101" s="2"/>
      <c r="D101" s="2"/>
      <c r="E101" s="2"/>
      <c r="F101" s="2"/>
      <c r="G101" s="2"/>
      <c r="H101" s="2"/>
      <c r="I101" s="2"/>
    </row>
    <row r="102" spans="3:9" x14ac:dyDescent="0.35">
      <c r="C102" s="2"/>
      <c r="D102" s="2"/>
      <c r="E102" s="2"/>
      <c r="F102" s="2"/>
      <c r="G102" s="2"/>
      <c r="H102" s="2"/>
      <c r="I102" s="2"/>
    </row>
    <row r="103" spans="3:9" x14ac:dyDescent="0.35">
      <c r="C103" s="2"/>
      <c r="D103" s="2"/>
      <c r="E103" s="2"/>
      <c r="F103" s="2"/>
      <c r="G103" s="2"/>
      <c r="H103" s="2"/>
      <c r="I103" s="2"/>
    </row>
    <row r="104" spans="3:9" x14ac:dyDescent="0.35">
      <c r="C104" s="2"/>
      <c r="D104" s="2"/>
      <c r="E104" s="2"/>
      <c r="F104" s="2"/>
      <c r="G104" s="2"/>
      <c r="H104" s="2"/>
      <c r="I104" s="2"/>
    </row>
    <row r="105" spans="3:9" x14ac:dyDescent="0.35">
      <c r="C105" s="2"/>
      <c r="D105" s="2"/>
      <c r="E105" s="2"/>
      <c r="F105" s="2"/>
      <c r="G105" s="2"/>
      <c r="H105" s="2"/>
      <c r="I105" s="2"/>
    </row>
    <row r="106" spans="3:9" x14ac:dyDescent="0.35">
      <c r="C106" s="2"/>
      <c r="D106" s="2"/>
      <c r="E106" s="2"/>
      <c r="F106" s="2"/>
      <c r="G106" s="2"/>
      <c r="H106" s="2"/>
      <c r="I106" s="2"/>
    </row>
    <row r="107" spans="3:9" x14ac:dyDescent="0.35">
      <c r="C107" s="2"/>
      <c r="D107" s="2"/>
      <c r="E107" s="2"/>
      <c r="F107" s="2"/>
      <c r="G107" s="2"/>
      <c r="H107" s="2"/>
      <c r="I107" s="2"/>
    </row>
    <row r="108" spans="3:9" x14ac:dyDescent="0.35">
      <c r="C108" s="2"/>
      <c r="D108" s="2"/>
      <c r="E108" s="2"/>
      <c r="F108" s="2"/>
      <c r="G108" s="2"/>
      <c r="H108" s="2"/>
      <c r="I108" s="2"/>
    </row>
    <row r="109" spans="3:9" x14ac:dyDescent="0.35">
      <c r="C109" s="2"/>
      <c r="D109" s="2"/>
      <c r="E109" s="2"/>
      <c r="F109" s="2"/>
      <c r="G109" s="2"/>
      <c r="H109" s="2"/>
      <c r="I109" s="2"/>
    </row>
    <row r="110" spans="3:9" x14ac:dyDescent="0.35">
      <c r="C110" s="2"/>
      <c r="D110" s="2"/>
      <c r="E110" s="2"/>
      <c r="F110" s="2"/>
      <c r="G110" s="2"/>
      <c r="H110" s="2"/>
      <c r="I110" s="2"/>
    </row>
    <row r="111" spans="3:9" x14ac:dyDescent="0.35">
      <c r="C111" s="2"/>
      <c r="D111" s="2"/>
      <c r="E111" s="2"/>
      <c r="F111" s="2"/>
      <c r="G111" s="2"/>
      <c r="H111" s="2"/>
      <c r="I111" s="2"/>
    </row>
    <row r="112" spans="3:9" x14ac:dyDescent="0.35">
      <c r="C112" s="2"/>
      <c r="D112" s="2"/>
      <c r="E112" s="2"/>
      <c r="F112" s="2"/>
      <c r="G112" s="2"/>
      <c r="H112" s="2"/>
      <c r="I112" s="2"/>
    </row>
    <row r="113" spans="3:9" x14ac:dyDescent="0.35">
      <c r="C113" s="2"/>
      <c r="D113" s="2"/>
      <c r="E113" s="2"/>
      <c r="F113" s="2"/>
      <c r="G113" s="2"/>
      <c r="H113" s="2"/>
      <c r="I113" s="2"/>
    </row>
    <row r="114" spans="3:9" x14ac:dyDescent="0.35">
      <c r="C114" s="2"/>
      <c r="D114" s="2"/>
      <c r="E114" s="2"/>
      <c r="F114" s="2"/>
      <c r="G114" s="2"/>
      <c r="H114" s="2"/>
      <c r="I114" s="2"/>
    </row>
    <row r="115" spans="3:9" x14ac:dyDescent="0.35">
      <c r="C115" s="2"/>
      <c r="D115" s="2"/>
      <c r="E115" s="2"/>
      <c r="F115" s="2"/>
      <c r="G115" s="2"/>
      <c r="H115" s="2"/>
      <c r="I115" s="2"/>
    </row>
    <row r="116" spans="3:9" x14ac:dyDescent="0.35">
      <c r="C116" s="2"/>
      <c r="D116" s="2"/>
      <c r="E116" s="2"/>
      <c r="F116" s="2"/>
      <c r="G116" s="2"/>
      <c r="H116" s="2"/>
      <c r="I116" s="2"/>
    </row>
    <row r="117" spans="3:9" x14ac:dyDescent="0.35">
      <c r="C117" s="2"/>
      <c r="D117" s="2"/>
      <c r="E117" s="2"/>
      <c r="F117" s="2"/>
      <c r="G117" s="2"/>
      <c r="H117" s="2"/>
      <c r="I117" s="2"/>
    </row>
    <row r="118" spans="3:9" x14ac:dyDescent="0.35">
      <c r="C118" s="2"/>
      <c r="D118" s="2"/>
      <c r="E118" s="2"/>
      <c r="F118" s="2"/>
      <c r="G118" s="2"/>
      <c r="H118" s="2"/>
      <c r="I118" s="2"/>
    </row>
    <row r="119" spans="3:9" x14ac:dyDescent="0.35">
      <c r="C119" s="2"/>
      <c r="D119" s="2"/>
      <c r="E119" s="2"/>
      <c r="F119" s="2"/>
      <c r="G119" s="2"/>
      <c r="H119" s="2"/>
      <c r="I119" s="2"/>
    </row>
    <row r="120" spans="3:9" x14ac:dyDescent="0.35">
      <c r="C120" s="2"/>
      <c r="D120" s="2"/>
      <c r="E120" s="2"/>
      <c r="F120" s="2"/>
      <c r="G120" s="2"/>
      <c r="H120" s="2"/>
      <c r="I120" s="2"/>
    </row>
    <row r="121" spans="3:9" x14ac:dyDescent="0.35">
      <c r="C121" s="2"/>
      <c r="D121" s="2"/>
      <c r="E121" s="2"/>
      <c r="F121" s="2"/>
      <c r="G121" s="2"/>
      <c r="H121" s="2"/>
      <c r="I121" s="2"/>
    </row>
    <row r="122" spans="3:9" x14ac:dyDescent="0.35">
      <c r="C122" s="2"/>
      <c r="D122" s="2"/>
      <c r="E122" s="2"/>
      <c r="F122" s="2"/>
      <c r="G122" s="2"/>
      <c r="H122" s="2"/>
      <c r="I122" s="2"/>
    </row>
    <row r="123" spans="3:9" x14ac:dyDescent="0.35">
      <c r="C123" s="2"/>
      <c r="D123" s="2"/>
      <c r="E123" s="2"/>
      <c r="F123" s="2"/>
      <c r="G123" s="2"/>
      <c r="H123" s="2"/>
      <c r="I123" s="2"/>
    </row>
    <row r="124" spans="3:9" x14ac:dyDescent="0.35">
      <c r="C124" s="2"/>
      <c r="D124" s="2"/>
      <c r="E124" s="2"/>
      <c r="F124" s="2"/>
      <c r="G124" s="2"/>
      <c r="H124" s="2"/>
      <c r="I124" s="2"/>
    </row>
    <row r="125" spans="3:9" x14ac:dyDescent="0.35">
      <c r="C125" s="2"/>
      <c r="D125" s="2"/>
      <c r="E125" s="2"/>
      <c r="F125" s="2"/>
      <c r="G125" s="2"/>
      <c r="H125" s="2"/>
      <c r="I125" s="2"/>
    </row>
    <row r="126" spans="3:9" x14ac:dyDescent="0.35">
      <c r="C126" s="2"/>
      <c r="D126" s="2"/>
      <c r="E126" s="2"/>
      <c r="F126" s="2"/>
      <c r="G126" s="2"/>
      <c r="H126" s="2"/>
      <c r="I126" s="2"/>
    </row>
    <row r="127" spans="3:9" x14ac:dyDescent="0.35">
      <c r="C127" s="2"/>
      <c r="D127" s="2"/>
      <c r="E127" s="2"/>
      <c r="F127" s="2"/>
      <c r="G127" s="2"/>
      <c r="H127" s="2"/>
      <c r="I127" s="2"/>
    </row>
    <row r="128" spans="3:9" x14ac:dyDescent="0.35">
      <c r="C128" s="2"/>
      <c r="D128" s="2"/>
      <c r="E128" s="2"/>
      <c r="F128" s="2"/>
      <c r="G128" s="2"/>
      <c r="H128" s="2"/>
      <c r="I128" s="2"/>
    </row>
    <row r="129" spans="3:9" x14ac:dyDescent="0.35">
      <c r="C129" s="2"/>
      <c r="D129" s="2"/>
      <c r="E129" s="2"/>
      <c r="F129" s="2"/>
      <c r="G129" s="2"/>
      <c r="H129" s="2"/>
      <c r="I129" s="2"/>
    </row>
    <row r="130" spans="3:9" x14ac:dyDescent="0.35">
      <c r="C130" s="2"/>
      <c r="D130" s="2"/>
      <c r="E130" s="2"/>
      <c r="F130" s="2"/>
      <c r="G130" s="2"/>
      <c r="H130" s="2"/>
      <c r="I130" s="2"/>
    </row>
    <row r="131" spans="3:9" x14ac:dyDescent="0.35">
      <c r="C131" s="2"/>
      <c r="D131" s="2"/>
      <c r="E131" s="2"/>
      <c r="F131" s="2"/>
      <c r="G131" s="2"/>
      <c r="H131" s="2"/>
      <c r="I131" s="2"/>
    </row>
    <row r="132" spans="3:9" x14ac:dyDescent="0.35">
      <c r="C132" s="2"/>
      <c r="D132" s="2"/>
      <c r="E132" s="2"/>
      <c r="F132" s="2"/>
      <c r="G132" s="2"/>
      <c r="H132" s="2"/>
      <c r="I132" s="2"/>
    </row>
    <row r="133" spans="3:9" x14ac:dyDescent="0.35">
      <c r="C133" s="2"/>
      <c r="D133" s="2"/>
      <c r="E133" s="2"/>
      <c r="F133" s="2"/>
      <c r="G133" s="2"/>
      <c r="H133" s="2"/>
      <c r="I133" s="2"/>
    </row>
    <row r="134" spans="3:9" x14ac:dyDescent="0.35">
      <c r="C134" s="2"/>
      <c r="D134" s="2"/>
      <c r="E134" s="2"/>
      <c r="F134" s="2"/>
      <c r="G134" s="2"/>
      <c r="H134" s="2"/>
      <c r="I134" s="2"/>
    </row>
    <row r="135" spans="3:9" x14ac:dyDescent="0.35">
      <c r="C135" s="2"/>
      <c r="D135" s="2"/>
      <c r="E135" s="2"/>
      <c r="F135" s="2"/>
      <c r="G135" s="2"/>
      <c r="H135" s="2"/>
      <c r="I135" s="2"/>
    </row>
    <row r="136" spans="3:9" x14ac:dyDescent="0.35">
      <c r="C136" s="2"/>
      <c r="D136" s="2"/>
      <c r="E136" s="2"/>
      <c r="F136" s="2"/>
      <c r="G136" s="2"/>
      <c r="H136" s="2"/>
      <c r="I136" s="2"/>
    </row>
    <row r="137" spans="3:9" x14ac:dyDescent="0.35">
      <c r="C137" s="2"/>
      <c r="D137" s="2"/>
      <c r="E137" s="2"/>
      <c r="F137" s="2"/>
      <c r="G137" s="2"/>
      <c r="H137" s="2"/>
      <c r="I137" s="2"/>
    </row>
    <row r="138" spans="3:9" x14ac:dyDescent="0.35">
      <c r="C138" s="2"/>
      <c r="D138" s="2"/>
      <c r="E138" s="2"/>
      <c r="F138" s="2"/>
      <c r="G138" s="2"/>
      <c r="H138" s="2"/>
      <c r="I138" s="2"/>
    </row>
    <row r="139" spans="3:9" x14ac:dyDescent="0.35">
      <c r="C139" s="2"/>
      <c r="D139" s="2"/>
      <c r="E139" s="2"/>
      <c r="F139" s="2"/>
      <c r="G139" s="2"/>
      <c r="H139" s="2"/>
      <c r="I139" s="2"/>
    </row>
    <row r="140" spans="3:9" x14ac:dyDescent="0.35">
      <c r="C140" s="2"/>
      <c r="D140" s="2"/>
      <c r="E140" s="2"/>
      <c r="F140" s="2"/>
      <c r="G140" s="2"/>
      <c r="H140" s="2"/>
      <c r="I140" s="2"/>
    </row>
    <row r="141" spans="3:9" x14ac:dyDescent="0.35">
      <c r="C141" s="2"/>
      <c r="D141" s="2"/>
      <c r="E141" s="2"/>
      <c r="F141" s="2"/>
      <c r="G141" s="2"/>
      <c r="H141" s="2"/>
      <c r="I141" s="2"/>
    </row>
    <row r="142" spans="3:9" x14ac:dyDescent="0.35">
      <c r="C142" s="2"/>
      <c r="D142" s="2"/>
      <c r="E142" s="2"/>
      <c r="F142" s="2"/>
      <c r="G142" s="2"/>
      <c r="H142" s="2"/>
      <c r="I142" s="2"/>
    </row>
    <row r="143" spans="3:9" x14ac:dyDescent="0.35">
      <c r="C143" s="2"/>
      <c r="D143" s="2"/>
      <c r="E143" s="2"/>
      <c r="F143" s="2"/>
      <c r="G143" s="2"/>
      <c r="H143" s="2"/>
      <c r="I143" s="2"/>
    </row>
    <row r="144" spans="3:9" x14ac:dyDescent="0.35">
      <c r="C144" s="2"/>
      <c r="D144" s="2"/>
      <c r="E144" s="2"/>
      <c r="F144" s="2"/>
      <c r="G144" s="2"/>
      <c r="H144" s="2"/>
      <c r="I144" s="2"/>
    </row>
    <row r="145" spans="3:9" x14ac:dyDescent="0.35">
      <c r="C145" s="2"/>
      <c r="D145" s="2"/>
      <c r="E145" s="2"/>
      <c r="F145" s="2"/>
      <c r="G145" s="2"/>
      <c r="H145" s="2"/>
      <c r="I145" s="2"/>
    </row>
    <row r="146" spans="3:9" x14ac:dyDescent="0.35">
      <c r="C146" s="2"/>
      <c r="D146" s="2"/>
      <c r="E146" s="2"/>
      <c r="F146" s="2"/>
      <c r="G146" s="2"/>
      <c r="H146" s="2"/>
      <c r="I146" s="2"/>
    </row>
    <row r="147" spans="3:9" x14ac:dyDescent="0.35">
      <c r="C147" s="2"/>
      <c r="D147" s="2"/>
      <c r="E147" s="2"/>
      <c r="F147" s="2"/>
      <c r="G147" s="2"/>
      <c r="H147" s="2"/>
      <c r="I147" s="2"/>
    </row>
    <row r="148" spans="3:9" x14ac:dyDescent="0.35">
      <c r="C148" s="2"/>
      <c r="D148" s="2"/>
      <c r="E148" s="2"/>
      <c r="F148" s="2"/>
      <c r="G148" s="2"/>
      <c r="H148" s="2"/>
      <c r="I148" s="2"/>
    </row>
    <row r="149" spans="3:9" x14ac:dyDescent="0.35">
      <c r="C149" s="2"/>
      <c r="D149" s="2"/>
      <c r="E149" s="2"/>
      <c r="F149" s="2"/>
      <c r="G149" s="2"/>
      <c r="H149" s="2"/>
      <c r="I149" s="2"/>
    </row>
    <row r="150" spans="3:9" x14ac:dyDescent="0.35">
      <c r="C150" s="2"/>
      <c r="D150" s="2"/>
      <c r="E150" s="2"/>
      <c r="F150" s="2"/>
      <c r="G150" s="2"/>
      <c r="H150" s="2"/>
      <c r="I150" s="2"/>
    </row>
    <row r="151" spans="3:9" x14ac:dyDescent="0.35">
      <c r="C151" s="2"/>
      <c r="D151" s="2"/>
      <c r="E151" s="2"/>
      <c r="F151" s="2"/>
      <c r="G151" s="2"/>
      <c r="H151" s="2"/>
      <c r="I151" s="2"/>
    </row>
    <row r="152" spans="3:9" x14ac:dyDescent="0.35">
      <c r="C152" s="2"/>
      <c r="D152" s="2"/>
      <c r="E152" s="2"/>
      <c r="F152" s="2"/>
      <c r="G152" s="2"/>
      <c r="H152" s="2"/>
      <c r="I152" s="2"/>
    </row>
    <row r="153" spans="3:9" x14ac:dyDescent="0.35">
      <c r="C153" s="2"/>
      <c r="D153" s="2"/>
      <c r="E153" s="2"/>
      <c r="F153" s="2"/>
      <c r="G153" s="2"/>
      <c r="H153" s="2"/>
      <c r="I153" s="2"/>
    </row>
    <row r="154" spans="3:9" x14ac:dyDescent="0.35">
      <c r="C154" s="2"/>
      <c r="D154" s="2"/>
      <c r="E154" s="2"/>
      <c r="F154" s="2"/>
      <c r="G154" s="2"/>
      <c r="H154" s="2"/>
      <c r="I154" s="2"/>
    </row>
    <row r="155" spans="3:9" x14ac:dyDescent="0.35">
      <c r="C155" s="2"/>
      <c r="D155" s="2"/>
      <c r="E155" s="2"/>
      <c r="F155" s="2"/>
      <c r="G155" s="2"/>
      <c r="H155" s="2"/>
      <c r="I155" s="2"/>
    </row>
    <row r="156" spans="3:9" x14ac:dyDescent="0.35">
      <c r="C156" s="2"/>
      <c r="D156" s="2"/>
      <c r="E156" s="2"/>
      <c r="F156" s="2"/>
      <c r="G156" s="2"/>
      <c r="H156" s="2"/>
      <c r="I156" s="2"/>
    </row>
    <row r="157" spans="3:9" x14ac:dyDescent="0.35">
      <c r="C157" s="2"/>
      <c r="D157" s="2"/>
      <c r="E157" s="2"/>
      <c r="F157" s="2"/>
      <c r="G157" s="2"/>
      <c r="H157" s="2"/>
      <c r="I157" s="2"/>
    </row>
    <row r="158" spans="3:9" x14ac:dyDescent="0.35">
      <c r="C158" s="2"/>
      <c r="D158" s="2"/>
      <c r="E158" s="2"/>
      <c r="F158" s="2"/>
      <c r="G158" s="2"/>
      <c r="H158" s="2"/>
      <c r="I158" s="2"/>
    </row>
    <row r="159" spans="3:9" x14ac:dyDescent="0.35">
      <c r="C159" s="2"/>
      <c r="D159" s="2"/>
      <c r="E159" s="2"/>
      <c r="F159" s="2"/>
      <c r="G159" s="2"/>
      <c r="H159" s="2"/>
      <c r="I159" s="2"/>
    </row>
    <row r="160" spans="3:9" x14ac:dyDescent="0.35">
      <c r="C160" s="2"/>
      <c r="D160" s="2"/>
      <c r="E160" s="2"/>
      <c r="F160" s="2"/>
      <c r="G160" s="2"/>
      <c r="H160" s="2"/>
      <c r="I160" s="2"/>
    </row>
    <row r="161" spans="3:9" x14ac:dyDescent="0.35">
      <c r="C161" s="2"/>
      <c r="D161" s="2"/>
      <c r="E161" s="2"/>
      <c r="F161" s="2"/>
      <c r="G161" s="2"/>
      <c r="H161" s="2"/>
      <c r="I161" s="2"/>
    </row>
    <row r="162" spans="3:9" x14ac:dyDescent="0.35">
      <c r="C162" s="2"/>
      <c r="D162" s="2"/>
      <c r="E162" s="2"/>
      <c r="F162" s="2"/>
      <c r="G162" s="2"/>
      <c r="H162" s="2"/>
      <c r="I162" s="2"/>
    </row>
    <row r="163" spans="3:9" x14ac:dyDescent="0.35">
      <c r="C163" s="2"/>
      <c r="D163" s="2"/>
      <c r="E163" s="2"/>
      <c r="F163" s="2"/>
      <c r="G163" s="2"/>
      <c r="H163" s="2"/>
      <c r="I163" s="2"/>
    </row>
    <row r="164" spans="3:9" x14ac:dyDescent="0.35">
      <c r="C164" s="2"/>
      <c r="D164" s="2"/>
      <c r="E164" s="2"/>
      <c r="F164" s="2"/>
      <c r="G164" s="2"/>
      <c r="H164" s="2"/>
      <c r="I164" s="2"/>
    </row>
    <row r="165" spans="3:9" x14ac:dyDescent="0.35">
      <c r="C165" s="2"/>
      <c r="D165" s="2"/>
      <c r="E165" s="2"/>
      <c r="F165" s="2"/>
      <c r="G165" s="2"/>
      <c r="H165" s="2"/>
      <c r="I165" s="2"/>
    </row>
    <row r="166" spans="3:9" x14ac:dyDescent="0.35">
      <c r="C166" s="2"/>
      <c r="D166" s="2"/>
      <c r="E166" s="2"/>
      <c r="F166" s="2"/>
      <c r="G166" s="2"/>
      <c r="H166" s="2"/>
      <c r="I166" s="2"/>
    </row>
    <row r="167" spans="3:9" x14ac:dyDescent="0.35">
      <c r="C167" s="2"/>
      <c r="D167" s="2"/>
      <c r="E167" s="2"/>
      <c r="F167" s="2"/>
      <c r="G167" s="2"/>
      <c r="H167" s="2"/>
      <c r="I167" s="2"/>
    </row>
    <row r="168" spans="3:9" x14ac:dyDescent="0.35">
      <c r="C168" s="2"/>
      <c r="D168" s="2"/>
      <c r="E168" s="2"/>
      <c r="F168" s="2"/>
      <c r="G168" s="2"/>
      <c r="H168" s="2"/>
      <c r="I168" s="2"/>
    </row>
    <row r="169" spans="3:9" x14ac:dyDescent="0.35">
      <c r="C169" s="2"/>
      <c r="D169" s="2"/>
      <c r="E169" s="2"/>
      <c r="F169" s="2"/>
      <c r="G169" s="2"/>
      <c r="H169" s="2"/>
      <c r="I169" s="2"/>
    </row>
    <row r="170" spans="3:9" x14ac:dyDescent="0.35">
      <c r="C170" s="2"/>
      <c r="D170" s="2"/>
      <c r="E170" s="2"/>
      <c r="F170" s="2"/>
      <c r="G170" s="2"/>
      <c r="H170" s="2"/>
      <c r="I170" s="2"/>
    </row>
    <row r="171" spans="3:9" x14ac:dyDescent="0.35">
      <c r="C171" s="2"/>
      <c r="D171" s="2"/>
      <c r="E171" s="2"/>
      <c r="F171" s="2"/>
      <c r="G171" s="2"/>
      <c r="H171" s="2"/>
      <c r="I171" s="2"/>
    </row>
    <row r="172" spans="3:9" x14ac:dyDescent="0.35">
      <c r="C172" s="2"/>
      <c r="D172" s="2"/>
      <c r="E172" s="2"/>
      <c r="F172" s="2"/>
      <c r="G172" s="2"/>
      <c r="H172" s="2"/>
      <c r="I172" s="2"/>
    </row>
    <row r="173" spans="3:9" x14ac:dyDescent="0.35">
      <c r="C173" s="2"/>
      <c r="D173" s="2"/>
      <c r="E173" s="2"/>
      <c r="F173" s="2"/>
      <c r="G173" s="2"/>
      <c r="H173" s="2"/>
      <c r="I173" s="2"/>
    </row>
    <row r="174" spans="3:9" x14ac:dyDescent="0.35">
      <c r="C174" s="2"/>
      <c r="D174" s="2"/>
      <c r="E174" s="2"/>
      <c r="F174" s="2"/>
      <c r="G174" s="2"/>
      <c r="H174" s="2"/>
      <c r="I174" s="2"/>
    </row>
    <row r="175" spans="3:9" x14ac:dyDescent="0.35">
      <c r="C175" s="2"/>
      <c r="D175" s="2"/>
      <c r="E175" s="2"/>
      <c r="F175" s="2"/>
      <c r="G175" s="2"/>
      <c r="H175" s="2"/>
      <c r="I175" s="2"/>
    </row>
    <row r="176" spans="3:9" x14ac:dyDescent="0.35">
      <c r="C176" s="2"/>
      <c r="D176" s="2"/>
      <c r="E176" s="2"/>
      <c r="F176" s="2"/>
      <c r="G176" s="2"/>
      <c r="H176" s="2"/>
      <c r="I176" s="2"/>
    </row>
    <row r="177" spans="3:9" x14ac:dyDescent="0.35">
      <c r="C177" s="2"/>
      <c r="D177" s="2"/>
      <c r="E177" s="2"/>
      <c r="F177" s="2"/>
      <c r="G177" s="2"/>
      <c r="H177" s="2"/>
      <c r="I177" s="2"/>
    </row>
    <row r="178" spans="3:9" x14ac:dyDescent="0.35">
      <c r="C178" s="2"/>
      <c r="D178" s="2"/>
      <c r="E178" s="2"/>
      <c r="F178" s="2"/>
      <c r="G178" s="2"/>
      <c r="H178" s="2"/>
      <c r="I178" s="2"/>
    </row>
    <row r="179" spans="3:9" x14ac:dyDescent="0.35">
      <c r="C179" s="2"/>
      <c r="D179" s="2"/>
      <c r="E179" s="2"/>
      <c r="F179" s="2"/>
      <c r="G179" s="2"/>
      <c r="H179" s="2"/>
      <c r="I179" s="2"/>
    </row>
    <row r="180" spans="3:9" x14ac:dyDescent="0.35">
      <c r="C180" s="2"/>
      <c r="D180" s="2"/>
      <c r="E180" s="2"/>
      <c r="F180" s="2"/>
      <c r="G180" s="2"/>
      <c r="H180" s="2"/>
      <c r="I180" s="2"/>
    </row>
    <row r="181" spans="3:9" x14ac:dyDescent="0.35">
      <c r="C181" s="2"/>
      <c r="D181" s="2"/>
      <c r="E181" s="2"/>
      <c r="F181" s="2"/>
      <c r="G181" s="2"/>
      <c r="H181" s="2"/>
      <c r="I181" s="2"/>
    </row>
    <row r="182" spans="3:9" x14ac:dyDescent="0.35">
      <c r="C182" s="2"/>
      <c r="D182" s="2"/>
      <c r="E182" s="2"/>
      <c r="F182" s="2"/>
      <c r="G182" s="2"/>
      <c r="H182" s="2"/>
      <c r="I182" s="2"/>
    </row>
    <row r="183" spans="3:9" x14ac:dyDescent="0.35">
      <c r="C183" s="2"/>
      <c r="D183" s="2"/>
      <c r="E183" s="2"/>
      <c r="F183" s="2"/>
      <c r="G183" s="2"/>
      <c r="H183" s="2"/>
      <c r="I183" s="2"/>
    </row>
    <row r="184" spans="3:9" x14ac:dyDescent="0.35">
      <c r="C184" s="2"/>
      <c r="D184" s="2"/>
      <c r="E184" s="2"/>
      <c r="F184" s="2"/>
      <c r="G184" s="2"/>
      <c r="H184" s="2"/>
      <c r="I184" s="2"/>
    </row>
    <row r="185" spans="3:9" x14ac:dyDescent="0.35">
      <c r="C185" s="2"/>
      <c r="D185" s="2"/>
      <c r="E185" s="2"/>
      <c r="F185" s="2"/>
      <c r="G185" s="2"/>
      <c r="H185" s="2"/>
      <c r="I185" s="2"/>
    </row>
    <row r="186" spans="3:9" x14ac:dyDescent="0.35">
      <c r="C186" s="2"/>
      <c r="D186" s="2"/>
      <c r="E186" s="2"/>
      <c r="F186" s="2"/>
      <c r="G186" s="2"/>
      <c r="H186" s="2"/>
      <c r="I186" s="2"/>
    </row>
    <row r="187" spans="3:9" x14ac:dyDescent="0.35">
      <c r="C187" s="2"/>
      <c r="D187" s="2"/>
      <c r="E187" s="2"/>
      <c r="F187" s="2"/>
      <c r="G187" s="2"/>
      <c r="H187" s="2"/>
      <c r="I187" s="2"/>
    </row>
    <row r="188" spans="3:9" x14ac:dyDescent="0.35">
      <c r="C188" s="2"/>
      <c r="D188" s="2"/>
      <c r="E188" s="2"/>
      <c r="F188" s="2"/>
      <c r="G188" s="2"/>
      <c r="H188" s="2"/>
      <c r="I188" s="2"/>
    </row>
    <row r="189" spans="3:9" x14ac:dyDescent="0.35">
      <c r="C189" s="2"/>
      <c r="D189" s="2"/>
      <c r="E189" s="2"/>
      <c r="F189" s="2"/>
      <c r="G189" s="2"/>
      <c r="H189" s="2"/>
      <c r="I189" s="2"/>
    </row>
    <row r="190" spans="3:9" x14ac:dyDescent="0.35">
      <c r="C190" s="2"/>
      <c r="D190" s="2"/>
      <c r="E190" s="2"/>
      <c r="F190" s="2"/>
      <c r="G190" s="2"/>
      <c r="H190" s="2"/>
      <c r="I190" s="2"/>
    </row>
    <row r="191" spans="3:9" x14ac:dyDescent="0.35">
      <c r="C191" s="2"/>
      <c r="D191" s="2"/>
      <c r="E191" s="2"/>
      <c r="F191" s="2"/>
      <c r="G191" s="2"/>
      <c r="H191" s="2"/>
      <c r="I191" s="2"/>
    </row>
    <row r="192" spans="3:9" x14ac:dyDescent="0.35">
      <c r="C192" s="2"/>
      <c r="D192" s="2"/>
      <c r="E192" s="2"/>
      <c r="F192" s="2"/>
      <c r="G192" s="2"/>
      <c r="H192" s="2"/>
      <c r="I192" s="2"/>
    </row>
    <row r="193" spans="3:9" x14ac:dyDescent="0.35">
      <c r="C193" s="2"/>
      <c r="D193" s="2"/>
      <c r="E193" s="2"/>
      <c r="F193" s="2"/>
      <c r="G193" s="2"/>
      <c r="H193" s="2"/>
      <c r="I193" s="2"/>
    </row>
    <row r="194" spans="3:9" x14ac:dyDescent="0.35">
      <c r="C194" s="2"/>
      <c r="D194" s="2"/>
      <c r="E194" s="2"/>
      <c r="F194" s="2"/>
      <c r="G194" s="2"/>
      <c r="H194" s="2"/>
      <c r="I194" s="2"/>
    </row>
    <row r="195" spans="3:9" x14ac:dyDescent="0.35">
      <c r="C195" s="2"/>
      <c r="D195" s="2"/>
      <c r="E195" s="2"/>
      <c r="F195" s="2"/>
      <c r="G195" s="2"/>
      <c r="H195" s="2"/>
      <c r="I195" s="2"/>
    </row>
    <row r="196" spans="3:9" x14ac:dyDescent="0.35">
      <c r="C196" s="2"/>
      <c r="D196" s="2"/>
      <c r="E196" s="2"/>
      <c r="F196" s="2"/>
      <c r="G196" s="2"/>
      <c r="H196" s="2"/>
      <c r="I196" s="2"/>
    </row>
    <row r="197" spans="3:9" x14ac:dyDescent="0.35">
      <c r="C197" s="2"/>
      <c r="D197" s="2"/>
      <c r="E197" s="2"/>
      <c r="F197" s="2"/>
      <c r="G197" s="2"/>
      <c r="H197" s="2"/>
      <c r="I197" s="2"/>
    </row>
    <row r="198" spans="3:9" x14ac:dyDescent="0.35">
      <c r="C198" s="2"/>
      <c r="D198" s="2"/>
      <c r="E198" s="2"/>
      <c r="F198" s="2"/>
      <c r="G198" s="2"/>
      <c r="H198" s="2"/>
      <c r="I198" s="2"/>
    </row>
    <row r="199" spans="3:9" x14ac:dyDescent="0.35">
      <c r="C199" s="2"/>
      <c r="D199" s="2"/>
      <c r="E199" s="2"/>
      <c r="F199" s="2"/>
      <c r="G199" s="2"/>
      <c r="H199" s="2"/>
      <c r="I199" s="2"/>
    </row>
    <row r="200" spans="3:9" x14ac:dyDescent="0.35">
      <c r="C200" s="2"/>
      <c r="D200" s="2"/>
      <c r="E200" s="2"/>
      <c r="F200" s="2"/>
      <c r="G200" s="2"/>
      <c r="H200" s="2"/>
      <c r="I200" s="2"/>
    </row>
    <row r="201" spans="3:9" x14ac:dyDescent="0.35">
      <c r="C201" s="2"/>
      <c r="D201" s="2"/>
      <c r="E201" s="2"/>
      <c r="F201" s="2"/>
      <c r="G201" s="2"/>
      <c r="H201" s="2"/>
      <c r="I201" s="2"/>
    </row>
    <row r="202" spans="3:9" x14ac:dyDescent="0.35">
      <c r="C202" s="2"/>
      <c r="D202" s="2"/>
      <c r="E202" s="2"/>
      <c r="F202" s="2"/>
      <c r="G202" s="2"/>
      <c r="H202" s="2"/>
      <c r="I202" s="2"/>
    </row>
    <row r="203" spans="3:9" x14ac:dyDescent="0.35">
      <c r="C203" s="2"/>
      <c r="D203" s="2"/>
      <c r="E203" s="2"/>
      <c r="F203" s="2"/>
      <c r="G203" s="2"/>
      <c r="H203" s="2"/>
      <c r="I203" s="2"/>
    </row>
    <row r="204" spans="3:9" x14ac:dyDescent="0.35">
      <c r="C204" s="2"/>
      <c r="D204" s="2"/>
      <c r="E204" s="2"/>
      <c r="F204" s="2"/>
      <c r="G204" s="2"/>
      <c r="H204" s="2"/>
      <c r="I204" s="2"/>
    </row>
    <row r="205" spans="3:9" x14ac:dyDescent="0.35">
      <c r="C205" s="2"/>
      <c r="D205" s="2"/>
      <c r="E205" s="2"/>
      <c r="F205" s="2"/>
      <c r="G205" s="2"/>
      <c r="H205" s="2"/>
      <c r="I205" s="2"/>
    </row>
    <row r="206" spans="3:9" x14ac:dyDescent="0.35">
      <c r="C206" s="2"/>
      <c r="D206" s="2"/>
      <c r="E206" s="2"/>
      <c r="F206" s="2"/>
      <c r="G206" s="2"/>
      <c r="H206" s="2"/>
      <c r="I206" s="2"/>
    </row>
    <row r="207" spans="3:9" x14ac:dyDescent="0.35">
      <c r="C207" s="2"/>
      <c r="D207" s="2"/>
      <c r="E207" s="2"/>
      <c r="F207" s="2"/>
      <c r="G207" s="2"/>
      <c r="H207" s="2"/>
      <c r="I207" s="2"/>
    </row>
    <row r="208" spans="3:9" x14ac:dyDescent="0.35">
      <c r="C208" s="2"/>
      <c r="D208" s="2"/>
      <c r="E208" s="2"/>
      <c r="F208" s="2"/>
      <c r="G208" s="2"/>
      <c r="H208" s="2"/>
      <c r="I208" s="2"/>
    </row>
    <row r="209" spans="3:9" x14ac:dyDescent="0.35">
      <c r="C209" s="2"/>
      <c r="D209" s="2"/>
      <c r="E209" s="2"/>
      <c r="F209" s="2"/>
      <c r="G209" s="2"/>
      <c r="H209" s="2"/>
      <c r="I209" s="2"/>
    </row>
    <row r="210" spans="3:9" x14ac:dyDescent="0.35">
      <c r="C210" s="2"/>
      <c r="D210" s="2"/>
      <c r="E210" s="2"/>
      <c r="F210" s="2"/>
      <c r="G210" s="2"/>
      <c r="H210" s="2"/>
      <c r="I210" s="2"/>
    </row>
    <row r="211" spans="3:9" x14ac:dyDescent="0.35">
      <c r="C211" s="2"/>
      <c r="D211" s="2"/>
      <c r="E211" s="2"/>
      <c r="F211" s="2"/>
      <c r="G211" s="2"/>
      <c r="H211" s="2"/>
      <c r="I211" s="2"/>
    </row>
    <row r="212" spans="3:9" x14ac:dyDescent="0.35">
      <c r="C212" s="2"/>
      <c r="D212" s="2"/>
      <c r="E212" s="2"/>
      <c r="F212" s="2"/>
      <c r="G212" s="2"/>
      <c r="H212" s="2"/>
      <c r="I212" s="2"/>
    </row>
    <row r="213" spans="3:9" x14ac:dyDescent="0.35">
      <c r="C213" s="2"/>
      <c r="D213" s="2"/>
      <c r="E213" s="2"/>
      <c r="F213" s="2"/>
      <c r="G213" s="2"/>
      <c r="H213" s="2"/>
      <c r="I213" s="2"/>
    </row>
    <row r="214" spans="3:9" x14ac:dyDescent="0.35">
      <c r="C214" s="2"/>
      <c r="D214" s="2"/>
      <c r="E214" s="2"/>
      <c r="F214" s="2"/>
      <c r="G214" s="2"/>
      <c r="H214" s="2"/>
      <c r="I214" s="2"/>
    </row>
    <row r="215" spans="3:9" x14ac:dyDescent="0.35">
      <c r="C215" s="2"/>
      <c r="D215" s="2"/>
      <c r="E215" s="2"/>
      <c r="F215" s="2"/>
      <c r="G215" s="2"/>
      <c r="H215" s="2"/>
      <c r="I215" s="2"/>
    </row>
    <row r="216" spans="3:9" x14ac:dyDescent="0.35">
      <c r="C216" s="2"/>
      <c r="D216" s="2"/>
      <c r="E216" s="2"/>
      <c r="F216" s="2"/>
      <c r="G216" s="2"/>
      <c r="H216" s="2"/>
      <c r="I216" s="2"/>
    </row>
    <row r="217" spans="3:9" x14ac:dyDescent="0.35">
      <c r="C217" s="2"/>
      <c r="D217" s="2"/>
      <c r="E217" s="2"/>
      <c r="F217" s="2"/>
      <c r="G217" s="2"/>
      <c r="H217" s="2"/>
      <c r="I217" s="2"/>
    </row>
    <row r="218" spans="3:9" x14ac:dyDescent="0.35">
      <c r="C218" s="2"/>
      <c r="D218" s="2"/>
      <c r="E218" s="2"/>
      <c r="F218" s="2"/>
      <c r="G218" s="2"/>
      <c r="H218" s="2"/>
      <c r="I218" s="2"/>
    </row>
    <row r="219" spans="3:9" x14ac:dyDescent="0.35">
      <c r="C219" s="2"/>
      <c r="D219" s="2"/>
      <c r="E219" s="2"/>
      <c r="F219" s="2"/>
      <c r="G219" s="2"/>
      <c r="H219" s="2"/>
      <c r="I219" s="2"/>
    </row>
    <row r="220" spans="3:9" x14ac:dyDescent="0.35">
      <c r="C220" s="2"/>
      <c r="D220" s="2"/>
      <c r="E220" s="2"/>
      <c r="F220" s="2"/>
      <c r="G220" s="2"/>
      <c r="H220" s="2"/>
      <c r="I220" s="2"/>
    </row>
    <row r="221" spans="3:9" x14ac:dyDescent="0.35">
      <c r="C221" s="2"/>
      <c r="D221" s="2"/>
      <c r="E221" s="2"/>
      <c r="F221" s="2"/>
      <c r="G221" s="2"/>
      <c r="H221" s="2"/>
      <c r="I221" s="2"/>
    </row>
    <row r="222" spans="3:9" x14ac:dyDescent="0.35">
      <c r="C222" s="2"/>
      <c r="D222" s="2"/>
      <c r="E222" s="2"/>
      <c r="F222" s="2"/>
      <c r="G222" s="2"/>
      <c r="H222" s="2"/>
      <c r="I222" s="2"/>
    </row>
    <row r="223" spans="3:9" x14ac:dyDescent="0.35">
      <c r="C223" s="2"/>
      <c r="D223" s="2"/>
      <c r="E223" s="2"/>
      <c r="F223" s="2"/>
      <c r="G223" s="2"/>
      <c r="H223" s="2"/>
      <c r="I223" s="2"/>
    </row>
    <row r="224" spans="3:9" x14ac:dyDescent="0.35">
      <c r="C224" s="2"/>
      <c r="D224" s="2"/>
      <c r="E224" s="2"/>
      <c r="F224" s="2"/>
      <c r="G224" s="2"/>
      <c r="H224" s="2"/>
      <c r="I224" s="2"/>
    </row>
  </sheetData>
  <mergeCells count="9">
    <mergeCell ref="J16:L16"/>
    <mergeCell ref="J19:U19"/>
    <mergeCell ref="J27:U27"/>
    <mergeCell ref="J34:M34"/>
    <mergeCell ref="J9:U9"/>
    <mergeCell ref="J10:U10"/>
    <mergeCell ref="J11:U11"/>
    <mergeCell ref="J12:U12"/>
    <mergeCell ref="J13:U13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ignoredErrors>
    <ignoredError sqref="L42 N42" calculatedColumn="1"/>
  </ignoredErrors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Bitterlich</vt:lpstr>
    </vt:vector>
  </TitlesOfParts>
  <Company>Universidade Federal do Pará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Método de Bitterlich</dc:title>
  <dc:creator>Prof. Deivison Venicio Souza - UFPA</dc:creator>
  <cp:lastModifiedBy>Revisor</cp:lastModifiedBy>
  <dcterms:created xsi:type="dcterms:W3CDTF">2025-05-08T21:37:02Z</dcterms:created>
  <dcterms:modified xsi:type="dcterms:W3CDTF">2026-05-08T15:04:13Z</dcterms:modified>
</cp:coreProperties>
</file>